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75" windowWidth="14235" windowHeight="7425"/>
  </bookViews>
  <sheets>
    <sheet name="840001457" sheetId="1" r:id="rId1"/>
    <sheet name="84001458" sheetId="2" r:id="rId2"/>
    <sheet name="Sheet1" sheetId="4" r:id="rId3"/>
    <sheet name="Sheet2" sheetId="5" r:id="rId4"/>
    <sheet name="Sheet3" sheetId="6" r:id="rId5"/>
  </sheets>
  <calcPr calcId="125725"/>
</workbook>
</file>

<file path=xl/calcChain.xml><?xml version="1.0" encoding="utf-8"?>
<calcChain xmlns="http://schemas.openxmlformats.org/spreadsheetml/2006/main">
  <c r="B1063" i="2"/>
  <c r="B1039"/>
  <c r="B1011"/>
  <c r="B975"/>
  <c r="B957"/>
  <c r="B929"/>
  <c r="B869"/>
  <c r="B829"/>
  <c r="B793"/>
  <c r="B713"/>
  <c r="B633"/>
  <c r="B609"/>
  <c r="B585"/>
  <c r="B549"/>
  <c r="B515"/>
  <c r="B483"/>
  <c r="B439"/>
  <c r="B389"/>
  <c r="B339"/>
  <c r="B311"/>
  <c r="B263"/>
  <c r="B237"/>
  <c r="B89"/>
  <c r="B21"/>
  <c r="B2473" i="1"/>
  <c r="B2251"/>
  <c r="B2221"/>
  <c r="B2073"/>
  <c r="B1999"/>
  <c r="B1967"/>
  <c r="B1945"/>
  <c r="B1723"/>
  <c r="B1575"/>
  <c r="B1535"/>
  <c r="B1521"/>
  <c r="B1505"/>
  <c r="B1477"/>
  <c r="B1447"/>
  <c r="B1431"/>
  <c r="B1383"/>
  <c r="B1343"/>
  <c r="B1303"/>
  <c r="B1283"/>
  <c r="B1257"/>
  <c r="B1109"/>
  <c r="B1069"/>
  <c r="B1009"/>
  <c r="B929" l="1"/>
  <c r="B887"/>
  <c r="B875" l="1"/>
  <c r="B857"/>
  <c r="B823"/>
  <c r="B675"/>
  <c r="B641"/>
  <c r="B601"/>
  <c r="B561"/>
  <c r="B413" l="1"/>
  <c r="B401"/>
  <c r="B361"/>
  <c r="B295"/>
  <c r="B265" l="1"/>
  <c r="B117"/>
  <c r="B91"/>
  <c r="B43"/>
  <c r="B23"/>
  <c r="B17"/>
</calcChain>
</file>

<file path=xl/sharedStrings.xml><?xml version="1.0" encoding="utf-8"?>
<sst xmlns="http://schemas.openxmlformats.org/spreadsheetml/2006/main" count="3596" uniqueCount="1794">
  <si>
    <t>14:00pm</t>
  </si>
  <si>
    <t>sello</t>
  </si>
  <si>
    <t>consecitivo</t>
  </si>
  <si>
    <t>CN0DW711716230C62102</t>
  </si>
  <si>
    <t>CN0R126K4822011H05AS</t>
  </si>
  <si>
    <t>CN0R126K4822012F02HL</t>
  </si>
  <si>
    <t>2LJVHQ1</t>
  </si>
  <si>
    <t>2KRWHQ1</t>
  </si>
  <si>
    <t>CN0D176P6418014D0T3L</t>
  </si>
  <si>
    <t>MX04X6C07426213B13NU</t>
  </si>
  <si>
    <t>3VSWHQ1</t>
  </si>
  <si>
    <t>3TYVHQ1</t>
  </si>
  <si>
    <t>CN0R126K4822011H03BY</t>
  </si>
  <si>
    <t>CN0D176P641801372WWS</t>
  </si>
  <si>
    <t>CN0D176P641801372VTS</t>
  </si>
  <si>
    <t>CN0D176P641801372VRS</t>
  </si>
  <si>
    <t>CN0N01VP6418013J0KEB</t>
  </si>
  <si>
    <t>CN0N01VP6418013701WM</t>
  </si>
  <si>
    <t>3SJXHQ1</t>
  </si>
  <si>
    <t>24ZWHQ1</t>
  </si>
  <si>
    <t>3VYWHQ1</t>
  </si>
  <si>
    <t>24YVHQ1</t>
  </si>
  <si>
    <t>CN0R126K4822011H03C1</t>
  </si>
  <si>
    <t>CN0R126K4822011H03CH</t>
  </si>
  <si>
    <t>JTKRHQ1</t>
  </si>
  <si>
    <t>JTGPHQ1</t>
  </si>
  <si>
    <t>JTGTHQ1</t>
  </si>
  <si>
    <t>JTLTHQ1</t>
  </si>
  <si>
    <t>JTHPHQ1</t>
  </si>
  <si>
    <t>JTJNHQ1</t>
  </si>
  <si>
    <t>JTKNHQ1</t>
  </si>
  <si>
    <t>JTHNHQ1</t>
  </si>
  <si>
    <t>JTLSHQ1</t>
  </si>
  <si>
    <t>JTKSHQ1</t>
  </si>
  <si>
    <t>JTLRHQ1</t>
  </si>
  <si>
    <t>JTMPHQ1</t>
  </si>
  <si>
    <t>JTKTHQ1</t>
  </si>
  <si>
    <t>JTGNHQ1</t>
  </si>
  <si>
    <t>JTJPHQ1</t>
  </si>
  <si>
    <t>JTLPHQ1</t>
  </si>
  <si>
    <t>JTGVHQ1</t>
  </si>
  <si>
    <t>JTMNHQ1</t>
  </si>
  <si>
    <t>JTGQHQ1</t>
  </si>
  <si>
    <t>JTKQHQ1</t>
  </si>
  <si>
    <t>JTHTHQ1</t>
  </si>
  <si>
    <t>JTHSHQ1</t>
  </si>
  <si>
    <t>JTHVHQ1</t>
  </si>
  <si>
    <t>JTGSHQ1</t>
  </si>
  <si>
    <t>JTFVHQ1</t>
  </si>
  <si>
    <t>JTJRHQ1</t>
  </si>
  <si>
    <t>JTJTHQ1</t>
  </si>
  <si>
    <t>JTJQHQ1</t>
  </si>
  <si>
    <t>JTGRHQ1</t>
  </si>
  <si>
    <t>JTJSHQ1</t>
  </si>
  <si>
    <t>JTFTHQ1</t>
  </si>
  <si>
    <t>JTLQHQ1</t>
  </si>
  <si>
    <t>JTLNHQ1</t>
  </si>
  <si>
    <t>JTHQHQ1</t>
  </si>
  <si>
    <t>JTFSHQ1</t>
  </si>
  <si>
    <t>JTHRHQ1</t>
  </si>
  <si>
    <t>JTKPHQ1</t>
  </si>
  <si>
    <t>CN0D176P641801380LQS</t>
  </si>
  <si>
    <t>CN0D176P641801380MHS</t>
  </si>
  <si>
    <t>CN0D176P641801380MUS</t>
  </si>
  <si>
    <t>CN0D176P641801380MKS</t>
  </si>
  <si>
    <t>CN0D176P641801380MMS</t>
  </si>
  <si>
    <t>CN0D176P641801380KVS</t>
  </si>
  <si>
    <t>CN0D176P641801380L3S</t>
  </si>
  <si>
    <t>CN0D176P641801380EYS</t>
  </si>
  <si>
    <t>CN0D176P641801380KQS</t>
  </si>
  <si>
    <t>CN0D176P641801380KRS</t>
  </si>
  <si>
    <t>CN0D176P641801380EXS</t>
  </si>
  <si>
    <t>CN0D176P641801380H4S</t>
  </si>
  <si>
    <t>CN0D176P641801380H5S</t>
  </si>
  <si>
    <t>CN0D176P641801380F3S</t>
  </si>
  <si>
    <t>CN0D176P641801380LUS</t>
  </si>
  <si>
    <t>CN0D176P641801380LVS</t>
  </si>
  <si>
    <t>CN0D176P641801380LTS</t>
  </si>
  <si>
    <t>CN0D176P641801380MSS</t>
  </si>
  <si>
    <t>CN0D176P641801380MPS</t>
  </si>
  <si>
    <t>CN0D176P641801380MLS</t>
  </si>
  <si>
    <t>CN0D176P641801380LHS</t>
  </si>
  <si>
    <t>CN0D176P641801380LGS</t>
  </si>
  <si>
    <t>CN0D176P641801380LSS</t>
  </si>
  <si>
    <t>CN0D176P641801380H2S</t>
  </si>
  <si>
    <t>CN0D176P641801380MTS</t>
  </si>
  <si>
    <t>CN0D176P6418013805NS</t>
  </si>
  <si>
    <t>CN0D176P641801380KXS</t>
  </si>
  <si>
    <t>CN0D176P641801380KYS</t>
  </si>
  <si>
    <t>CN0D176P641801380KFS</t>
  </si>
  <si>
    <t>CN0D176P641801380KMS</t>
  </si>
  <si>
    <t>CN0D176P641801380LMS</t>
  </si>
  <si>
    <t>CN0D176P641801380LLS</t>
  </si>
  <si>
    <t>CN0D176P641801380LNS</t>
  </si>
  <si>
    <t>CN0D176P641801380LJS</t>
  </si>
  <si>
    <t>CN0D176P641801380LES</t>
  </si>
  <si>
    <t>CN0D176P641801380F9S</t>
  </si>
  <si>
    <t>CN0D176P6418013M128L</t>
  </si>
  <si>
    <t>CN0R126K4822011H03I7</t>
  </si>
  <si>
    <t>CN0R126K4822011H03I2</t>
  </si>
  <si>
    <t>CN0R126K4822011H03EC</t>
  </si>
  <si>
    <t>CN0R126K4822011H03EJ</t>
  </si>
  <si>
    <t>CN0R126K4822011H03IR</t>
  </si>
  <si>
    <t>CN0R126K4822011H03EH</t>
  </si>
  <si>
    <t>CN0R126K4822011H03IS</t>
  </si>
  <si>
    <t>CN0R126K4822011H03IO</t>
  </si>
  <si>
    <t>CN0R126K4822011H03IM</t>
  </si>
  <si>
    <t>CN0R126K4822011H03IB</t>
  </si>
  <si>
    <t>CN0R126K4822011H03I9</t>
  </si>
  <si>
    <t>CN0R126K4822011H03EE</t>
  </si>
  <si>
    <t>CN0R126K4822011H03EG</t>
  </si>
  <si>
    <t>CN0R126K4822011H03I8</t>
  </si>
  <si>
    <t>CN0R126K4822011H03I6</t>
  </si>
  <si>
    <t>CN0R126K4822011H03I4</t>
  </si>
  <si>
    <t>CN0R126K4822011H03ED</t>
  </si>
  <si>
    <t>CN0R126K4822011H0388</t>
  </si>
  <si>
    <t>CN0R126K4822011H0382</t>
  </si>
  <si>
    <t>CN0R126K4822011H0383</t>
  </si>
  <si>
    <t>CN0R126K4822011H03EA</t>
  </si>
  <si>
    <t>CN0R126K4822011H03IQ</t>
  </si>
  <si>
    <t>CN0R126K4822011H03IN</t>
  </si>
  <si>
    <t>CN0R126K4822011H03IL</t>
  </si>
  <si>
    <t>CN0R126K4822011H03IP</t>
  </si>
  <si>
    <t>CN0R126K4822011H0386</t>
  </si>
  <si>
    <t>CN0R126K4822011H03I5</t>
  </si>
  <si>
    <t>CN0R126K4822011H03I3</t>
  </si>
  <si>
    <t>CN0R126K4822011H0384</t>
  </si>
  <si>
    <t>CN0R126K4822011H03EK</t>
  </si>
  <si>
    <t>CN0R126K4822011H03EF</t>
  </si>
  <si>
    <t>CN0R126K4822011H03IK</t>
  </si>
  <si>
    <t>CN0R126K4822011H038B</t>
  </si>
  <si>
    <t>CN0R126K4822011H038D</t>
  </si>
  <si>
    <t>CN0R126K4822011H038C</t>
  </si>
  <si>
    <t>CN0R126K4822011H0385</t>
  </si>
  <si>
    <t>CN0R126K4822011H03BR</t>
  </si>
  <si>
    <t>3:20pm</t>
  </si>
  <si>
    <t>CN0N0WV77426114C0D3L</t>
  </si>
  <si>
    <t>691XHQ1</t>
  </si>
  <si>
    <t>JZNCGQ1</t>
  </si>
  <si>
    <t>JZNKHQ1</t>
  </si>
  <si>
    <t>JZNCFQ1</t>
  </si>
  <si>
    <t>JZNDGQ1</t>
  </si>
  <si>
    <t>JZNKGQ1</t>
  </si>
  <si>
    <t>JZNDFQ1</t>
  </si>
  <si>
    <t>JZNLGQ1</t>
  </si>
  <si>
    <t>JZNJGQ1</t>
  </si>
  <si>
    <t>JZNJFQ1</t>
  </si>
  <si>
    <t>JZNLHQ1</t>
  </si>
  <si>
    <t>JZNGGQ1</t>
  </si>
  <si>
    <t>JZNGFQ1</t>
  </si>
  <si>
    <t>JZNMFQ1</t>
  </si>
  <si>
    <t>CN0U072N6418013P69TC</t>
  </si>
  <si>
    <t>CN0U072N6418012J28JL</t>
  </si>
  <si>
    <t>CN0U072N6418012J2EUL</t>
  </si>
  <si>
    <t>CN0U072N6418012J2EQL</t>
  </si>
  <si>
    <t>CN0U072N6418013P7HLC</t>
  </si>
  <si>
    <t>CN0U072N6418013P69KC</t>
  </si>
  <si>
    <t>CN0U072N6418013P69SC</t>
  </si>
  <si>
    <t>CN0U072N6418013P6AQC</t>
  </si>
  <si>
    <t>CN0U072N6418012J2EWL</t>
  </si>
  <si>
    <t>CN0U072N6418013P6ADC</t>
  </si>
  <si>
    <t>CN0U072N6418013P69UC</t>
  </si>
  <si>
    <t>CN0U072N6418013P69RC</t>
  </si>
  <si>
    <t>CN0U072N6418013P6AGC</t>
  </si>
  <si>
    <t>CN0U072N6418012J2F4L</t>
  </si>
  <si>
    <t>CN0U072N6418013P6AHC</t>
  </si>
  <si>
    <t>CN0U072N6418013P69NC</t>
  </si>
  <si>
    <t>CN0U072N6418013P6AMC</t>
  </si>
  <si>
    <t>CN0U072N6418013P6ANC</t>
  </si>
  <si>
    <t>CN0U072N6418012J2DZL</t>
  </si>
  <si>
    <t>CN0U072N6418012J2F1L</t>
  </si>
  <si>
    <t>CN0U072N6418013P69PC</t>
  </si>
  <si>
    <t>CN0U072N6418013P6AFC</t>
  </si>
  <si>
    <t>CN0U072N6418013P6AAC</t>
  </si>
  <si>
    <t>CN0U072N6418012J2E0L</t>
  </si>
  <si>
    <t>CN0U072N6418013P6A5C</t>
  </si>
  <si>
    <t>CN0U072N6418013P6A8C</t>
  </si>
  <si>
    <t>CN0U072N6418013P6A7C</t>
  </si>
  <si>
    <t>CN0U072N6418013P6A6C</t>
  </si>
  <si>
    <t>CN0U072N6418012J2EEL</t>
  </si>
  <si>
    <t>CN0U072N6418013P6A3C</t>
  </si>
  <si>
    <t>CN0U072N6418013P6A4C</t>
  </si>
  <si>
    <t>CN0U072N6418013P69QC</t>
  </si>
  <si>
    <t>CN0U072N6418013P6AKC</t>
  </si>
  <si>
    <t>JZNFGQ1</t>
  </si>
  <si>
    <t>JZNKDQ1</t>
  </si>
  <si>
    <t>JZNHFQ1</t>
  </si>
  <si>
    <t>JZNHDQ1</t>
  </si>
  <si>
    <t>JZNJDQ1</t>
  </si>
  <si>
    <t>JZNDDQ1</t>
  </si>
  <si>
    <t>JZNDHQ1</t>
  </si>
  <si>
    <t>JZNGDQ1</t>
  </si>
  <si>
    <t>JZNJHQ1</t>
  </si>
  <si>
    <t>JZNHGQ1</t>
  </si>
  <si>
    <t>JZNFHQ1</t>
  </si>
  <si>
    <t>JZNFDQ1</t>
  </si>
  <si>
    <t>JZNLDQ1</t>
  </si>
  <si>
    <t>JZNHHQ1</t>
  </si>
  <si>
    <t>JZNFFQ1</t>
  </si>
  <si>
    <t>JZNMDQ1</t>
  </si>
  <si>
    <t>JZNCHQ1</t>
  </si>
  <si>
    <t>JZNGHQ1</t>
  </si>
  <si>
    <t>JZNLFQ1</t>
  </si>
  <si>
    <t>JZNKFQ1</t>
  </si>
  <si>
    <t>CN0R126K4822011H0508</t>
  </si>
  <si>
    <t>CN0N01VP6418013J0DTB</t>
  </si>
  <si>
    <t>CQM6HQ1</t>
  </si>
  <si>
    <t>C7G5HQ1</t>
  </si>
  <si>
    <t>JZGKFQ1</t>
  </si>
  <si>
    <t>BCQ5HQ1</t>
  </si>
  <si>
    <t>CN0R126K4822011H04X6</t>
  </si>
  <si>
    <t>CN0R126K4822011H03GV</t>
  </si>
  <si>
    <t>CN0R126K4822011H04OL</t>
  </si>
  <si>
    <t>CN0R126K4822011H04RJ</t>
  </si>
  <si>
    <t>CN0R126K4822011H04PD</t>
  </si>
  <si>
    <t>CN0R126K4822011H03H0</t>
  </si>
  <si>
    <t>CN0R126K4822011H04PG</t>
  </si>
  <si>
    <t>CN0R126K4822011H04RF</t>
  </si>
  <si>
    <t>CN0R126K4822011H04RD</t>
  </si>
  <si>
    <t>CN0R126K4822011H04PI</t>
  </si>
  <si>
    <t>CN0R126K4822011H04XA</t>
  </si>
  <si>
    <t>CN0R126K4822011H03GW</t>
  </si>
  <si>
    <t>CN0R126K4822011H03GU</t>
  </si>
  <si>
    <t>CN0R126K4822011H04OQ</t>
  </si>
  <si>
    <t>CN0R126K4822011H03H1</t>
  </si>
  <si>
    <t>CN0R126K4822011H04RG</t>
  </si>
  <si>
    <t>CN0R126K4822011H04RI</t>
  </si>
  <si>
    <t>CN0R126K4822011H04PB</t>
  </si>
  <si>
    <t>CN0R126K4822011H04X9</t>
  </si>
  <si>
    <t>CN0R126K4822011H04RE</t>
  </si>
  <si>
    <t>CN0R126K4822011H04RC</t>
  </si>
  <si>
    <t>CN0R126K4822011H04PC</t>
  </si>
  <si>
    <t>CN0R126K4822011H04PJ</t>
  </si>
  <si>
    <t>CN0R126K4822011H04PF</t>
  </si>
  <si>
    <t>CN0R126K4822011H04X4</t>
  </si>
  <si>
    <t>CN0R126K4822011H04X5</t>
  </si>
  <si>
    <t>CN0R126K4822011H03GX</t>
  </si>
  <si>
    <t>CN0R126K4822011H04RH</t>
  </si>
  <si>
    <t>CN0R126K4822011H04R5</t>
  </si>
  <si>
    <t>CN0R126K4822011H03GT</t>
  </si>
  <si>
    <t>CN0R126K4822011H04PH</t>
  </si>
  <si>
    <t>CN0R126K4822011H03GY</t>
  </si>
  <si>
    <t>CN0R126K4822011H04PE</t>
  </si>
  <si>
    <t>CN0R126K4822011H03GZ</t>
  </si>
  <si>
    <t>CN0R126K4822011H04X8</t>
  </si>
  <si>
    <t>CN0R126K4822011H04X7</t>
  </si>
  <si>
    <t>CN0R126K4822011H04OT</t>
  </si>
  <si>
    <t>CN0D176P6418014D0UXL</t>
  </si>
  <si>
    <t>CN0D176P64180138159S</t>
  </si>
  <si>
    <t>CN0D176P6418013M0Q6L</t>
  </si>
  <si>
    <t>CN0D176P6418013M0Q5L</t>
  </si>
  <si>
    <t>CN0D176P6418014D0TUL</t>
  </si>
  <si>
    <t>CN0D176P6418014D0T9L</t>
  </si>
  <si>
    <t>CN0D176P6418014D0SKL</t>
  </si>
  <si>
    <t>CN0D176P64180138158S</t>
  </si>
  <si>
    <t>CN0D176P6418014D0T0L</t>
  </si>
  <si>
    <t>CN0D176P6418014D0T2L</t>
  </si>
  <si>
    <t>CN0D176P6418014D0SRL</t>
  </si>
  <si>
    <t>CN0D176P6418014D0SNL</t>
  </si>
  <si>
    <t>CN0D176P6418014D0SQL</t>
  </si>
  <si>
    <t>CN0D176P6418014D0U7L</t>
  </si>
  <si>
    <t>CN0D176P64180138154S</t>
  </si>
  <si>
    <t>CN0D176P6418014D0T6L</t>
  </si>
  <si>
    <t>CN0D176P6418014D0T5L</t>
  </si>
  <si>
    <t>CN0D176P6418014D0T4L</t>
  </si>
  <si>
    <t>CN0D176P6418014D0U1L</t>
  </si>
  <si>
    <t>CN0D176P64180138151S</t>
  </si>
  <si>
    <t>CN0D176P6418013M0PCL</t>
  </si>
  <si>
    <t>CN0D176P6418013M0PBL</t>
  </si>
  <si>
    <t>CN0D176P6418013M0Q0L</t>
  </si>
  <si>
    <t>CN0D176P6418014D0U9L</t>
  </si>
  <si>
    <t>CN0D176P6418014D0USL</t>
  </si>
  <si>
    <t>CN0D176P6418013M0NZL</t>
  </si>
  <si>
    <t>CN0D176P6418013M0QCL</t>
  </si>
  <si>
    <t>CN0D176P6418013M0R8L</t>
  </si>
  <si>
    <t>CN0D176P6418013M0PML</t>
  </si>
  <si>
    <t>CN0D176P6418014D0U8L</t>
  </si>
  <si>
    <t>CN0D176P6418014D0VFL</t>
  </si>
  <si>
    <t>CN0D176P6418013816NS</t>
  </si>
  <si>
    <t>CN0D176P6418014D0SXL</t>
  </si>
  <si>
    <t>CN0D176P6418013M0NYL</t>
  </si>
  <si>
    <t>CN0D176P6418013M0QGL</t>
  </si>
  <si>
    <t>CN0D176P6418013M0P8L</t>
  </si>
  <si>
    <t>CN0D176P6418013M0PZL</t>
  </si>
  <si>
    <t>JS5RHQ1</t>
  </si>
  <si>
    <t>JS5THQ1</t>
  </si>
  <si>
    <t>JS9THQ1</t>
  </si>
  <si>
    <t>JS6PHQ1</t>
  </si>
  <si>
    <t>JS6NHQ1</t>
  </si>
  <si>
    <t>JS7PHQ1</t>
  </si>
  <si>
    <t>JS7QHQ1</t>
  </si>
  <si>
    <t>JS9NHQ1</t>
  </si>
  <si>
    <t>JS9VHQ1</t>
  </si>
  <si>
    <t>JS6VHQ1</t>
  </si>
  <si>
    <t>JS7VHQ1</t>
  </si>
  <si>
    <t>JS7NHQ1</t>
  </si>
  <si>
    <t>JSBQHQ1</t>
  </si>
  <si>
    <t>JS9PHQ1</t>
  </si>
  <si>
    <t>JSBNHQ1</t>
  </si>
  <si>
    <t>JS7RHQ1</t>
  </si>
  <si>
    <t>JS7THQ1</t>
  </si>
  <si>
    <t>JS6SHQ1</t>
  </si>
  <si>
    <t>JS6RHQ1</t>
  </si>
  <si>
    <t>JS8THQ1</t>
  </si>
  <si>
    <t>JT7RHQ1</t>
  </si>
  <si>
    <t>JT2VHQ1</t>
  </si>
  <si>
    <t>JT7SHQ1</t>
  </si>
  <si>
    <t>JT5PHQ1</t>
  </si>
  <si>
    <t>JT3NHQ1</t>
  </si>
  <si>
    <t>JT7NHQ1</t>
  </si>
  <si>
    <t>JT2THQ1</t>
  </si>
  <si>
    <t>JT7PHQ1</t>
  </si>
  <si>
    <t>JT3QHQ1</t>
  </si>
  <si>
    <t>JT6VHQ1</t>
  </si>
  <si>
    <t>JT6PHQ1</t>
  </si>
  <si>
    <t>JT6QHQ1</t>
  </si>
  <si>
    <t>JT5NHQ1</t>
  </si>
  <si>
    <t>JT7THQ1</t>
  </si>
  <si>
    <t>JT7QHQ1</t>
  </si>
  <si>
    <t>JT6SHQ1</t>
  </si>
  <si>
    <t>JT3RHQ1</t>
  </si>
  <si>
    <t>JT4THQ1</t>
  </si>
  <si>
    <t>JT2SHQ1</t>
  </si>
  <si>
    <t>JT3THQ1</t>
  </si>
  <si>
    <t>JS7SHQ1</t>
  </si>
  <si>
    <t>JS8VHQ1</t>
  </si>
  <si>
    <t>JSBPHQ1</t>
  </si>
  <si>
    <t>JS5SHQ1</t>
  </si>
  <si>
    <t>JS8SHQ1</t>
  </si>
  <si>
    <t>JS8QHQ1</t>
  </si>
  <si>
    <t>JS9QHQ1</t>
  </si>
  <si>
    <t>JS5VHQ1</t>
  </si>
  <si>
    <t>JS8RHQ1</t>
  </si>
  <si>
    <t>JS6QHQ1</t>
  </si>
  <si>
    <t>JSBSHQ1</t>
  </si>
  <si>
    <t>JSBRHQ1</t>
  </si>
  <si>
    <t>JS9RHQ1</t>
  </si>
  <si>
    <t>JS8NHQ1</t>
  </si>
  <si>
    <t>JS6THQ1</t>
  </si>
  <si>
    <t>JS9SHQ1</t>
  </si>
  <si>
    <t>JS8PHQ1</t>
  </si>
  <si>
    <t>CN0R126K4822011H04RU</t>
  </si>
  <si>
    <t>CN0R126K4822011H03CA</t>
  </si>
  <si>
    <t>CN0R126K4822011H04CB</t>
  </si>
  <si>
    <t>CN0R126K4822011H04CH</t>
  </si>
  <si>
    <t>CN0R126K4822011H04RY</t>
  </si>
  <si>
    <t>CN0R126K4822011H03C8</t>
  </si>
  <si>
    <t>CN0R126K4822011H04CF</t>
  </si>
  <si>
    <t>CN0R126K4822011H03GB</t>
  </si>
  <si>
    <t>CN0R126K4822011H04CI</t>
  </si>
  <si>
    <t>CN0R126K4822011H04CG</t>
  </si>
  <si>
    <t>CN0R126K4822011H04RX</t>
  </si>
  <si>
    <t>CN0R126K4822011H03KJ</t>
  </si>
  <si>
    <t>CN0R126K4822011H04X2</t>
  </si>
  <si>
    <t>CN0R126K4822011H04CJ</t>
  </si>
  <si>
    <t>CN0R126K4822011H04OH</t>
  </si>
  <si>
    <t>CN0R126K4822011H04X3</t>
  </si>
  <si>
    <t>CN0R126K4822011H04P1</t>
  </si>
  <si>
    <t>CN0R126K4822011H04OZ</t>
  </si>
  <si>
    <t>CN0R126K4822011H03CI</t>
  </si>
  <si>
    <t>CN0R126K4822011H03C9</t>
  </si>
  <si>
    <t>CN0R126K4822011H03C7</t>
  </si>
  <si>
    <t>CN0R126K4822011H04OY</t>
  </si>
  <si>
    <t>CN0R126K4822011H03C2</t>
  </si>
  <si>
    <t>CN0R126K4822011H03CJ</t>
  </si>
  <si>
    <t>CN0R126K4822011H03C6</t>
  </si>
  <si>
    <t>CN0R126K4822011H04S0</t>
  </si>
  <si>
    <t>CN0R126K4822011H03C5</t>
  </si>
  <si>
    <t>CN0R126K4822011H04OU</t>
  </si>
  <si>
    <t>CN0R126K4822011H04P0</t>
  </si>
  <si>
    <t>CN0R126K4822011H04CE</t>
  </si>
  <si>
    <t>CN0R126K4822011H04OX</t>
  </si>
  <si>
    <t>CN0R126K4822011H04RW</t>
  </si>
  <si>
    <t>CN0R126K4822011H04S2</t>
  </si>
  <si>
    <t>CN0R126K4822011H04OV</t>
  </si>
  <si>
    <t>CN0R126K4822011H04S4</t>
  </si>
  <si>
    <t>CN0R126K4822011H04CD</t>
  </si>
  <si>
    <t>CN0R126K4822011H04OW</t>
  </si>
  <si>
    <t>CN0D176P6418013M0QML</t>
  </si>
  <si>
    <t>CN0D176P6418013M0Q7L</t>
  </si>
  <si>
    <t>CN0D176P6418013M0NWL</t>
  </si>
  <si>
    <t>CN0D176P6418013M0S1L</t>
  </si>
  <si>
    <t>CN0D176P6418013M0QBL</t>
  </si>
  <si>
    <t>CN0D176P6418013M0Q9L</t>
  </si>
  <si>
    <t>CN0D176P6418013M0S6L</t>
  </si>
  <si>
    <t>CN0D176P6418013M0SDL</t>
  </si>
  <si>
    <t>CN0D176P6418013M0QPL</t>
  </si>
  <si>
    <t>CN0D176P6418013M0PJL</t>
  </si>
  <si>
    <t>CN0D176P6418013M0QFL</t>
  </si>
  <si>
    <t>CN0D176P6418013M0R6L</t>
  </si>
  <si>
    <t>CN0D176P6418013M0NXL</t>
  </si>
  <si>
    <t>CN0D176P6418013M0R3L</t>
  </si>
  <si>
    <t>CN0D176P6418013M0QZL</t>
  </si>
  <si>
    <t>CN0D176P6418013M0NVL</t>
  </si>
  <si>
    <t>CN0D176P6418013M0S4L</t>
  </si>
  <si>
    <t>CN0D176P6418013M0QRL</t>
  </si>
  <si>
    <t>CN0D176P6418013M0NPL</t>
  </si>
  <si>
    <t>CN0D176P6418013M0QLL</t>
  </si>
  <si>
    <t>CN0D176P6418013M0QQL</t>
  </si>
  <si>
    <t>CN0D176P6418013M0QKL</t>
  </si>
  <si>
    <t>CN0D176P6418013M0PVL</t>
  </si>
  <si>
    <t>CN0D176P6418013M0PWL</t>
  </si>
  <si>
    <t>CN0D176P6418013M0PRL</t>
  </si>
  <si>
    <t>CN0D176P6418013M0PTL</t>
  </si>
  <si>
    <t>CN0D176P6418013M0RKL</t>
  </si>
  <si>
    <t>CN0D176P6418013M0NSL</t>
  </si>
  <si>
    <t>CN0D176P6418013M0QJL</t>
  </si>
  <si>
    <t>CN0D176P6418013M0Q8L</t>
  </si>
  <si>
    <t>CN0D176P6418013M0P7L</t>
  </si>
  <si>
    <t>CN0D176P6418013M0RFL</t>
  </si>
  <si>
    <t>CN0D176P6418013M0RAL</t>
  </si>
  <si>
    <t>CN0D176P6418013M0P2L</t>
  </si>
  <si>
    <t>CN0D176P6418013M0QNL</t>
  </si>
  <si>
    <t>CN0D176P6418013M0RSL</t>
  </si>
  <si>
    <t>CN0D176P6418013M0S9L</t>
  </si>
  <si>
    <t>JT3SHQ1</t>
  </si>
  <si>
    <t>JT3VHQ1</t>
  </si>
  <si>
    <t>JT5RHQ1</t>
  </si>
  <si>
    <t>JT5SHQ1</t>
  </si>
  <si>
    <t>JT6NHQ1</t>
  </si>
  <si>
    <t>JT4SHQ1</t>
  </si>
  <si>
    <t>JT5THQ1</t>
  </si>
  <si>
    <t>JT5VHQ1</t>
  </si>
  <si>
    <t>JT4VHQ1</t>
  </si>
  <si>
    <t>JT4PHQ1</t>
  </si>
  <si>
    <t>JT4RHQ1</t>
  </si>
  <si>
    <t>JT6THQ1</t>
  </si>
  <si>
    <t>JT6RHQ1</t>
  </si>
  <si>
    <t>JT4NHQ1</t>
  </si>
  <si>
    <t>JT4QHQ1</t>
  </si>
  <si>
    <t>JT3PHQ1</t>
  </si>
  <si>
    <t>JT5QHQ1</t>
  </si>
  <si>
    <t>CN0R126K4822011H04CC</t>
  </si>
  <si>
    <t>CN0X6M0J7287214L1VWM</t>
  </si>
  <si>
    <t>HM1THQ1</t>
  </si>
  <si>
    <t>CN0F779N7426114N0CTU</t>
  </si>
  <si>
    <t>CN0F779N7426114N0D6U</t>
  </si>
  <si>
    <t>J4YTHQ1</t>
  </si>
  <si>
    <t>J4ZNHQ1</t>
  </si>
  <si>
    <t>CN04DDG16418014P1AKS</t>
  </si>
  <si>
    <t>JYV7HQ1</t>
  </si>
  <si>
    <t>9:00am</t>
  </si>
  <si>
    <t>CSZ4HQ1</t>
  </si>
  <si>
    <t>CSZ6HQ1</t>
  </si>
  <si>
    <t>CN0U828K7444512N671S</t>
  </si>
  <si>
    <t>CN0GRNWX728720CEAK0I</t>
  </si>
  <si>
    <t>GT9RHQ1</t>
  </si>
  <si>
    <t>GSYRHQ1</t>
  </si>
  <si>
    <t>CN0V72267287215N00NT</t>
  </si>
  <si>
    <t>CN0R126K4822012F02HJ</t>
  </si>
  <si>
    <t>CN0R126K4822012F02HG</t>
  </si>
  <si>
    <t>CN0X6M0J7287214B0J0M</t>
  </si>
  <si>
    <t>CN0X6M0J7287214L1W0M</t>
  </si>
  <si>
    <t>HVBTHQ1</t>
  </si>
  <si>
    <t>HVBSHQ1</t>
  </si>
  <si>
    <t>CN08JCGH74445137CZBL</t>
  </si>
  <si>
    <t>CN0H31DT7426114L24NS</t>
  </si>
  <si>
    <t>CN073DH91494112E0672</t>
  </si>
  <si>
    <t>4TMWHQ1</t>
  </si>
  <si>
    <t>CN0D176P6418013M11XL</t>
  </si>
  <si>
    <t>CN0D176P6418013M0ZZL</t>
  </si>
  <si>
    <t>CN0D176P6418013M11BL</t>
  </si>
  <si>
    <t>452WHQ1</t>
  </si>
  <si>
    <t>452XHQ1</t>
  </si>
  <si>
    <t>CN0D176P6418013M11AL</t>
  </si>
  <si>
    <t>CN0D176P6418013M0ZGL</t>
  </si>
  <si>
    <t>452YHQ1</t>
  </si>
  <si>
    <t>451YHQ1</t>
  </si>
  <si>
    <t>451XHQ1</t>
  </si>
  <si>
    <t>CN0U072N6418014T2XHL</t>
  </si>
  <si>
    <t>CN0U072N6418014T2WKL</t>
  </si>
  <si>
    <t>CN0U072N6418014T2WVL</t>
  </si>
  <si>
    <t>CN0U072N6418014T2WPL</t>
  </si>
  <si>
    <t>CN0U072N6418014T2WQL</t>
  </si>
  <si>
    <t>CN0U072N6418014T2WSL</t>
  </si>
  <si>
    <t>CN0U072N6418014T2WWL</t>
  </si>
  <si>
    <t>CN0U072N6418014T2X0L</t>
  </si>
  <si>
    <t>CN0U072N6418014T2XCL</t>
  </si>
  <si>
    <t>CN0U072N6418014T2WLL</t>
  </si>
  <si>
    <t>CN0U072N6418014T2X1L</t>
  </si>
  <si>
    <t>CN0U072N6418014T2WYL</t>
  </si>
  <si>
    <t>CN0U072N6418014T2X4L</t>
  </si>
  <si>
    <t>CN0U072N6418014T2X7L</t>
  </si>
  <si>
    <t>CN0U072N6418014T2XLL</t>
  </si>
  <si>
    <t>CN0U072N6418014T2X6L</t>
  </si>
  <si>
    <t>CN0U072N6418014T2X9L</t>
  </si>
  <si>
    <t>CN0U072N6418014T2XBL</t>
  </si>
  <si>
    <t>CN0U072N6418014T2XFL</t>
  </si>
  <si>
    <t>CN0U072N6418014T2XQL</t>
  </si>
  <si>
    <t>CN0U072N6418014T2XKL</t>
  </si>
  <si>
    <t>CN0U072N6418014T2XEL</t>
  </si>
  <si>
    <t>CN0U072N6418014T2XAL</t>
  </si>
  <si>
    <t>CN0U072N6418014T2WJL</t>
  </si>
  <si>
    <t>CN0U072N6418014T2XNL</t>
  </si>
  <si>
    <t>CN0U072N6418014T2WUL</t>
  </si>
  <si>
    <t>CN0U072N6418014T2X2L</t>
  </si>
  <si>
    <t>CN0U072N6418014T2WXL</t>
  </si>
  <si>
    <t>CN0U072N6418014T2XDL</t>
  </si>
  <si>
    <t>CN0U072N6418014T2WHL</t>
  </si>
  <si>
    <t>CN0U072N6418014T2XGL</t>
  </si>
  <si>
    <t>CN0U072N6418014T2WRL</t>
  </si>
  <si>
    <t>CN0U072N6418014T2XJL</t>
  </si>
  <si>
    <t>CN0U072N6418014T2X3L</t>
  </si>
  <si>
    <t>CN0U072N6418014T2XRL</t>
  </si>
  <si>
    <t>CN0U072N6418014T2WZL</t>
  </si>
  <si>
    <t>CN0U072N6418014T2WML</t>
  </si>
  <si>
    <t>CN0U072N6418014T2WNL</t>
  </si>
  <si>
    <t>CN0U072N6418014T2WGL</t>
  </si>
  <si>
    <t>CN0U072N6418014T2WFL</t>
  </si>
  <si>
    <t>CN0TJKG17426114P2GLC</t>
  </si>
  <si>
    <t>CN0TJKG17426114P2GHC</t>
  </si>
  <si>
    <t>CN0TJKG17426114P1PGC</t>
  </si>
  <si>
    <t>CN0TJKG17426114P2GCC</t>
  </si>
  <si>
    <t>CN0TJKG17426114P2GFC</t>
  </si>
  <si>
    <t>CN0TJKG17426114P1PDC</t>
  </si>
  <si>
    <t>CN0TJKG17426114P1PFC</t>
  </si>
  <si>
    <t>CN0TJKG17426114P2G9C</t>
  </si>
  <si>
    <t>CN0TJKG17426114P1PRC</t>
  </si>
  <si>
    <t>CN0TJKG17426114P1PVC</t>
  </si>
  <si>
    <t>CN0TJKG17426114P2GGC</t>
  </si>
  <si>
    <t>CN0TJKG17426114P2H3C</t>
  </si>
  <si>
    <t>CN0TJKG17426114P2GEC</t>
  </si>
  <si>
    <t>CN0TJKG17426114P1PHC</t>
  </si>
  <si>
    <t>CN0TJKG17426114P1PJC</t>
  </si>
  <si>
    <t>CN0TJKG17426114P2G7C</t>
  </si>
  <si>
    <t>CN0TJKG17426114P2G8C</t>
  </si>
  <si>
    <t>CN0TJKG17426114P1PLC</t>
  </si>
  <si>
    <t>CN0TJKG17426114P2GMC</t>
  </si>
  <si>
    <t>CN0TJKG17426114P1PUC</t>
  </si>
  <si>
    <t>CN0TJKG17426114P2GJC</t>
  </si>
  <si>
    <t>CN0TJKG17426114P2GNC</t>
  </si>
  <si>
    <t>CN0TJKG17426114P1PKC</t>
  </si>
  <si>
    <t>CN0TJKG17426114P2GAC</t>
  </si>
  <si>
    <t>CN0TJKG17426114P2GDC</t>
  </si>
  <si>
    <t>CN0TJKG17426114P1TGC</t>
  </si>
  <si>
    <t>CN0TJKG17426114P1PEC</t>
  </si>
  <si>
    <t>CN0TJKG17426114P2G6C</t>
  </si>
  <si>
    <t>CN0TJKG17426114P1J7C</t>
  </si>
  <si>
    <t>CN0TJKG17426114P26PC</t>
  </si>
  <si>
    <t>JZNTGQ1</t>
  </si>
  <si>
    <t>JZNNFQ1</t>
  </si>
  <si>
    <t>JZNNGQ1</t>
  </si>
  <si>
    <t>JZNSDQ1</t>
  </si>
  <si>
    <t>JZNYDQ1</t>
  </si>
  <si>
    <t>JZNXDQ1</t>
  </si>
  <si>
    <t>JZNVFQ1</t>
  </si>
  <si>
    <t>JZNQGQ1</t>
  </si>
  <si>
    <t>JZNXFQ1</t>
  </si>
  <si>
    <t>JZNYFQ1</t>
  </si>
  <si>
    <t>JZNRGQ1</t>
  </si>
  <si>
    <t>JZNTFQ1</t>
  </si>
  <si>
    <t>JZNXDP1</t>
  </si>
  <si>
    <t>JZNWDP1</t>
  </si>
  <si>
    <t>JZNQDQ1</t>
  </si>
  <si>
    <t>JZNQFQ1</t>
  </si>
  <si>
    <t>JZNPGQ1</t>
  </si>
  <si>
    <t>JZNSGQ1</t>
  </si>
  <si>
    <t>JZNQHQ1</t>
  </si>
  <si>
    <t>JZNWGQ1</t>
  </si>
  <si>
    <t>CN0R126K4822011H04OK</t>
  </si>
  <si>
    <t>CN0R126K4822012F02OB</t>
  </si>
  <si>
    <t>CN0R126K4822012F02QA</t>
  </si>
  <si>
    <t>CN0R126K4822011H04AJ</t>
  </si>
  <si>
    <t>CN0R126K4822011H04UE</t>
  </si>
  <si>
    <t>CN0R126K4822011H051O</t>
  </si>
  <si>
    <t>CN0R126K4822011H03JB</t>
  </si>
  <si>
    <t>CN0R126K4822011H03KH</t>
  </si>
  <si>
    <t>CN0R126K4822012F02LC</t>
  </si>
  <si>
    <t>CN0R126K4822011H03BW</t>
  </si>
  <si>
    <t>CN0R126K4822011H04TQ</t>
  </si>
  <si>
    <t>CN0R126K4822011H03GD</t>
  </si>
  <si>
    <t>CN0R126K4822011H04R8</t>
  </si>
  <si>
    <t>CN0R126K4822012F02GZ</t>
  </si>
  <si>
    <t>CN0R126K4822011H03JD</t>
  </si>
  <si>
    <t>CN0R126K4822011H03GC</t>
  </si>
  <si>
    <t>CN0R126K4822011H03JH</t>
  </si>
  <si>
    <t>CN0R126K4822011H03JG</t>
  </si>
  <si>
    <t>CN0R126K4822011H03GE</t>
  </si>
  <si>
    <t>CN0R126K4822012F02HC</t>
  </si>
  <si>
    <t>CN0R126K4822012F02OA</t>
  </si>
  <si>
    <t>CN0R126K4822011H03G1</t>
  </si>
  <si>
    <t>CN0R126K4822011H051E</t>
  </si>
  <si>
    <t>CN0R126K4822011H03JF</t>
  </si>
  <si>
    <t>CN0R126K4822011H03JC</t>
  </si>
  <si>
    <t>CN0R126K4822011H03JE</t>
  </si>
  <si>
    <t>CN0R126K4822011H03JI</t>
  </si>
  <si>
    <t>CN0R126K4822011H04MC</t>
  </si>
  <si>
    <t>CN0R126K4822011H04MD</t>
  </si>
  <si>
    <t>CN0R126K4822012F02OG</t>
  </si>
  <si>
    <t>CN0R126K4822011H04UD</t>
  </si>
  <si>
    <t>CN0R126K4822011H04MH</t>
  </si>
  <si>
    <t>CN0R126K4822011H04UG</t>
  </si>
  <si>
    <t>CN0R126K4822011H04UF</t>
  </si>
  <si>
    <t>CN0R126K4822011H03G0</t>
  </si>
  <si>
    <t>CN0R126K4822011H0517</t>
  </si>
  <si>
    <t>CN0R126K4822011H03GF</t>
  </si>
  <si>
    <t>CN0D176P6418013M0NBL</t>
  </si>
  <si>
    <t>CN0D176P6418013M0L6L</t>
  </si>
  <si>
    <t>CN0D176P6418013M12CL</t>
  </si>
  <si>
    <t>CN0D176P6418013M0LAL</t>
  </si>
  <si>
    <t>CN0D176P6418013M0MQL</t>
  </si>
  <si>
    <t>CN0D176P6418013M0K4L</t>
  </si>
  <si>
    <t>CN0D176P6418013M0LLL</t>
  </si>
  <si>
    <t>CN0D176P6418013M0P0L</t>
  </si>
  <si>
    <t>CN0D176P6418013M0LHL</t>
  </si>
  <si>
    <t>CN0D176P6418013M0JZL</t>
  </si>
  <si>
    <t>CN0D176P6418013M11HL</t>
  </si>
  <si>
    <t>CN0D176P6418013M0ZDL</t>
  </si>
  <si>
    <t>CN0D176P6418013M0L5L</t>
  </si>
  <si>
    <t>CN0D176P6418013M0MVL</t>
  </si>
  <si>
    <t>CN0D176P6418013M13JL</t>
  </si>
  <si>
    <t>CN0D176P6418013M0P4L</t>
  </si>
  <si>
    <t>CN0D176P6418013M0P1L</t>
  </si>
  <si>
    <t>CN0D176P6418013M0NKL</t>
  </si>
  <si>
    <t>CN0D176P6418013M0K8L</t>
  </si>
  <si>
    <t>CN0D176P6418013M13XL</t>
  </si>
  <si>
    <t>CN0D176P6418013M0MNL</t>
  </si>
  <si>
    <t>CN0D176P6418013M13KL</t>
  </si>
  <si>
    <t>CN0D176P6418013M0MKL</t>
  </si>
  <si>
    <t>CN0D176P6418013M12BL</t>
  </si>
  <si>
    <t>CN0D176P6418013M0MTL</t>
  </si>
  <si>
    <t>CN0D176P6418013M0NGL</t>
  </si>
  <si>
    <t>CN0D176P6418013M0MZL</t>
  </si>
  <si>
    <t>CN0D176P6418013M140L</t>
  </si>
  <si>
    <t>CN0D176P6418013M0KBL</t>
  </si>
  <si>
    <t>CN0D176P6418013M0K6L</t>
  </si>
  <si>
    <t>CN0D176P6418013M13ZL</t>
  </si>
  <si>
    <t>CN0D176P6418013M12AL</t>
  </si>
  <si>
    <t>CN0D176P6418013M145L</t>
  </si>
  <si>
    <t>CN0D176P6418013M0MSL</t>
  </si>
  <si>
    <t>CN0D176P6418013M11DL</t>
  </si>
  <si>
    <t>CN0D176P6418013M0KJL</t>
  </si>
  <si>
    <t>CN0D176P6418013M0K7L</t>
  </si>
  <si>
    <t>JVFSHQ1</t>
  </si>
  <si>
    <t>JVCVHQ1</t>
  </si>
  <si>
    <t>JVHVHQ1</t>
  </si>
  <si>
    <t>JVDRHQ1</t>
  </si>
  <si>
    <t>JVJQHQ1</t>
  </si>
  <si>
    <t>JVCSHQ1</t>
  </si>
  <si>
    <t>JVCTHQ1</t>
  </si>
  <si>
    <t>JVGNHQ1</t>
  </si>
  <si>
    <t>JVDNHQ1</t>
  </si>
  <si>
    <t>JVJSHQ1</t>
  </si>
  <si>
    <t>JVJRHQ1</t>
  </si>
  <si>
    <t>JVHSHQ1</t>
  </si>
  <si>
    <t>JVFTHQ1</t>
  </si>
  <si>
    <t>9WRTHQ1</t>
  </si>
  <si>
    <t>9WNTHQ1</t>
  </si>
  <si>
    <t>9WSTHQ1</t>
  </si>
  <si>
    <t>9WLSHQ1</t>
  </si>
  <si>
    <t>9WTTHQ1</t>
  </si>
  <si>
    <t>9WTSHQ1</t>
  </si>
  <si>
    <t>9WSRHQ1</t>
  </si>
  <si>
    <t>9WLRHQ1</t>
  </si>
  <si>
    <t>9WPRHQ1</t>
  </si>
  <si>
    <t>9WTRHQ1</t>
  </si>
  <si>
    <t>9WQTHQ1</t>
  </si>
  <si>
    <t>9WRRHQ1</t>
  </si>
  <si>
    <t>9WQSHQ1</t>
  </si>
  <si>
    <t>9WLTHQ1</t>
  </si>
  <si>
    <t>9WPTHQ1</t>
  </si>
  <si>
    <t>9WMTHQ1</t>
  </si>
  <si>
    <t>9WKRHQ1</t>
  </si>
  <si>
    <t>9WJTHQ1</t>
  </si>
  <si>
    <t>9WMRHQ1</t>
  </si>
  <si>
    <t>9WMSHQ1</t>
  </si>
  <si>
    <t>9WPSHQ1</t>
  </si>
  <si>
    <t>9WKSHQ1</t>
  </si>
  <si>
    <t>9WJSHQ1</t>
  </si>
  <si>
    <t>9WSSHQ1</t>
  </si>
  <si>
    <t>9WKTHQ1</t>
  </si>
  <si>
    <t>9WNRHQ1</t>
  </si>
  <si>
    <t>9WRSHQ1</t>
  </si>
  <si>
    <t>9WJRHQ1</t>
  </si>
  <si>
    <t>9WNSHQ1</t>
  </si>
  <si>
    <t>9WQRHQ1</t>
  </si>
  <si>
    <t>JZNWFQ1</t>
  </si>
  <si>
    <t>JZNSFQ1</t>
  </si>
  <si>
    <t>JZNNDQ1</t>
  </si>
  <si>
    <t>JZNSHQ1</t>
  </si>
  <si>
    <t>JZNVDP1</t>
  </si>
  <si>
    <t>JZNPFQ1</t>
  </si>
  <si>
    <t>JZNPDQ1</t>
  </si>
  <si>
    <t>JZNMHQ1</t>
  </si>
  <si>
    <t>JZNVDQ1</t>
  </si>
  <si>
    <t>JZNTHQ1</t>
  </si>
  <si>
    <t>JZNVGQ1</t>
  </si>
  <si>
    <t>JZNRFQ1</t>
  </si>
  <si>
    <t>JZNXGQ1</t>
  </si>
  <si>
    <t>JZNTDQ1</t>
  </si>
  <si>
    <t>JZNYDP1</t>
  </si>
  <si>
    <t>JZNRDQ1</t>
  </si>
  <si>
    <t>JZNPHQ1</t>
  </si>
  <si>
    <t>JZNRHQ1</t>
  </si>
  <si>
    <t>JZNWDQ1</t>
  </si>
  <si>
    <t>JZNNHQ1</t>
  </si>
  <si>
    <t>JVDPHQ1</t>
  </si>
  <si>
    <t>JVHQHQ1</t>
  </si>
  <si>
    <t>JVGVHQ1</t>
  </si>
  <si>
    <t>JVFPHQ1</t>
  </si>
  <si>
    <t>JVJNHQ1</t>
  </si>
  <si>
    <t>JVJPHQ1</t>
  </si>
  <si>
    <t>JVCRHQ1</t>
  </si>
  <si>
    <t>JVFVHQ1</t>
  </si>
  <si>
    <t>JVGPHQ1</t>
  </si>
  <si>
    <t>JVFNHQ1</t>
  </si>
  <si>
    <t>JVHNHQ1</t>
  </si>
  <si>
    <t>JVFRHQ1</t>
  </si>
  <si>
    <t>JVHRHQ1</t>
  </si>
  <si>
    <t>JVDSHQ1</t>
  </si>
  <si>
    <t>JVDQHQ1</t>
  </si>
  <si>
    <t>JVGRHQ1</t>
  </si>
  <si>
    <t>JVGTHQ1</t>
  </si>
  <si>
    <t>JVFQHQ1</t>
  </si>
  <si>
    <t>JVGQHQ1</t>
  </si>
  <si>
    <t>JVGSHQ1</t>
  </si>
  <si>
    <t>JVHTHQ1</t>
  </si>
  <si>
    <t>JVHPHQ1</t>
  </si>
  <si>
    <t>JVDVHQ1</t>
  </si>
  <si>
    <t>JVDTHQ1</t>
  </si>
  <si>
    <t>CN0U072N6418013P7X9C</t>
  </si>
  <si>
    <t>CT36HQ1</t>
  </si>
  <si>
    <t>BCQ6HQ1</t>
  </si>
  <si>
    <t>JZL4FP1</t>
  </si>
  <si>
    <t>JZL3HQ1</t>
  </si>
  <si>
    <t>BYV6HQ1</t>
  </si>
  <si>
    <t>CN0U072N6418013P82AC</t>
  </si>
  <si>
    <t>CN0U072N641801470W3C</t>
  </si>
  <si>
    <t>12:00pm</t>
  </si>
  <si>
    <t>CN0D97Y97287211R030L</t>
  </si>
  <si>
    <t>CN0D97Y97287211R033L</t>
  </si>
  <si>
    <t>95CXHQ1</t>
  </si>
  <si>
    <t>JZ1VDP1</t>
  </si>
  <si>
    <t>CN0D97Y97287211R02TL</t>
  </si>
  <si>
    <t>CN0D97Y97287211R01LL</t>
  </si>
  <si>
    <t>JYTVDP1</t>
  </si>
  <si>
    <t>JZ38GQ1</t>
  </si>
  <si>
    <t>CN0R126K4822011H055E</t>
  </si>
  <si>
    <t>CN0R126K4822011H03KG</t>
  </si>
  <si>
    <t>CN0D176P641801372ZKS</t>
  </si>
  <si>
    <t>3SQWHQ1</t>
  </si>
  <si>
    <t>267YHQ1</t>
  </si>
  <si>
    <t>CN00H3PD7287211RCLLM</t>
  </si>
  <si>
    <t>1K9XHQ1</t>
  </si>
  <si>
    <t>CN0D97Y97287211R02RL</t>
  </si>
  <si>
    <t>CN0D97Y97287211R02PL</t>
  </si>
  <si>
    <t>JYVGDQ1</t>
  </si>
  <si>
    <t>JYVFHQ1</t>
  </si>
  <si>
    <t>CN0D97Y97287211R02WL</t>
  </si>
  <si>
    <t>CN0D97Y97287211R02UL</t>
  </si>
  <si>
    <t>94PVHQ1</t>
  </si>
  <si>
    <t>94NYHQ1</t>
  </si>
  <si>
    <t>CN0R126K4822011H051Q</t>
  </si>
  <si>
    <t>CN0R126K4822011H03KE</t>
  </si>
  <si>
    <t>MX0C592M7287515B1T1L</t>
  </si>
  <si>
    <t>63WWHQ1</t>
  </si>
  <si>
    <t>CN0N0WV77426114C15AL</t>
  </si>
  <si>
    <t>68ZWHQ1</t>
  </si>
  <si>
    <t>910XHQ1</t>
  </si>
  <si>
    <t>7JRSHQ1</t>
  </si>
  <si>
    <t>7JQTHQ1</t>
  </si>
  <si>
    <t>7JSRHQ1</t>
  </si>
  <si>
    <t>7JRTHQ1</t>
  </si>
  <si>
    <t>7JRRHQ1</t>
  </si>
  <si>
    <t>7JSTHQ1</t>
  </si>
  <si>
    <t>7JSSHQ1</t>
  </si>
  <si>
    <t>CN0TYXD97444514JA88S</t>
  </si>
  <si>
    <t>CN0TYXD97444514JAA4S</t>
  </si>
  <si>
    <t>CN0TYXD97444514JA81S</t>
  </si>
  <si>
    <t>CN0TYXD97444514JA8GS</t>
  </si>
  <si>
    <t>CN0TYXD97444514JA86S</t>
  </si>
  <si>
    <t>CN0TYXD97444514JA87S</t>
  </si>
  <si>
    <t>CN0TYXD97444514JAA0S</t>
  </si>
  <si>
    <t>3:00pm</t>
  </si>
  <si>
    <t>JYDWFQ1</t>
  </si>
  <si>
    <t>JYDXFQ1</t>
  </si>
  <si>
    <t>JYDXDP1</t>
  </si>
  <si>
    <t>JYDXDQ1</t>
  </si>
  <si>
    <t>JYDWGQ1</t>
  </si>
  <si>
    <t>CN0N01VP6418013J0GHB</t>
  </si>
  <si>
    <t>CN0N01VP6418013J0GUB</t>
  </si>
  <si>
    <t>CN0N01VP6418013J0G8B</t>
  </si>
  <si>
    <t>CN0N01VP6418013J0GJB</t>
  </si>
  <si>
    <t>CN0N01VP6418013J0GYB</t>
  </si>
  <si>
    <t>CN0N01VP6418013J0GBB</t>
  </si>
  <si>
    <t>CN0N01VP6418013J0G5B</t>
  </si>
  <si>
    <t>CN0N01VP6418013J0G7B</t>
  </si>
  <si>
    <t>CN0N01VP6418013J0G4B</t>
  </si>
  <si>
    <t>CN0N01VP6418013J0GGB</t>
  </si>
  <si>
    <t>JY9YDP1</t>
  </si>
  <si>
    <t>JY9XFQ1</t>
  </si>
  <si>
    <t>JY9XDQ1</t>
  </si>
  <si>
    <t>JY9XGQ1</t>
  </si>
  <si>
    <t>JY9YDQ1</t>
  </si>
  <si>
    <t>9WGRHQ1</t>
  </si>
  <si>
    <t>9W8SHQ1</t>
  </si>
  <si>
    <t>9WBRHQ1</t>
  </si>
  <si>
    <t>9WFVHQ1</t>
  </si>
  <si>
    <t>9WHRHQ1</t>
  </si>
  <si>
    <t>9W8THQ1</t>
  </si>
  <si>
    <t>9WHSHQ1</t>
  </si>
  <si>
    <t>9WCVHQ1</t>
  </si>
  <si>
    <t>9WCRHQ1</t>
  </si>
  <si>
    <t>9WDTHQ1</t>
  </si>
  <si>
    <t>9WHTHQ1</t>
  </si>
  <si>
    <t>9WGTHQ1</t>
  </si>
  <si>
    <t>9WBTHQ1</t>
  </si>
  <si>
    <t>9W9THQ1</t>
  </si>
  <si>
    <t>9WBSHQ1</t>
  </si>
  <si>
    <t>9W9RHQ1</t>
  </si>
  <si>
    <t>9WCTHQ1</t>
  </si>
  <si>
    <t>9W8VHQ1</t>
  </si>
  <si>
    <t>9WFSHQ1</t>
  </si>
  <si>
    <t>9WGSHQ1</t>
  </si>
  <si>
    <t>9WCSHQ1</t>
  </si>
  <si>
    <t>9WBVHQ1</t>
  </si>
  <si>
    <t>9WDSHQ1</t>
  </si>
  <si>
    <t>9W9SHQ1</t>
  </si>
  <si>
    <t>9WDVHQ1</t>
  </si>
  <si>
    <t>9WGVHQ1</t>
  </si>
  <si>
    <t>9WDRHQ1</t>
  </si>
  <si>
    <t>9WFTHQ1</t>
  </si>
  <si>
    <t>9WFRHQ1</t>
  </si>
  <si>
    <t>9W9VHQ1</t>
  </si>
  <si>
    <t>CN0TJKG17426114P1LPC</t>
  </si>
  <si>
    <t>CN0TJKG17426114P2HUC</t>
  </si>
  <si>
    <t>CN0TJKG17426114P2HYC</t>
  </si>
  <si>
    <t>CN0TJKG17426114P2J9C</t>
  </si>
  <si>
    <t>CN0TJKG17426114P2JHC</t>
  </si>
  <si>
    <t>CN0TJKG17426114P19UC</t>
  </si>
  <si>
    <t>CN0TJKG17426114P2J8C</t>
  </si>
  <si>
    <t>CN0TJKG17426114P26NC</t>
  </si>
  <si>
    <t>CN0TJKG17426114P2J0C</t>
  </si>
  <si>
    <t>CN0TJKG17426114P1RFC</t>
  </si>
  <si>
    <t>CN0TJKG17426114P1A0C</t>
  </si>
  <si>
    <t>CN0TJKG17426114P2HVC</t>
  </si>
  <si>
    <t>CN0TJKG17426114P2HPC</t>
  </si>
  <si>
    <t>CN0TJKG17426114P2HWC</t>
  </si>
  <si>
    <t>CN0TJKG17426114P2J2C</t>
  </si>
  <si>
    <t>CN0TJKG17426114P15PC</t>
  </si>
  <si>
    <t>CN0TJKG17426114P15DC</t>
  </si>
  <si>
    <t>CN0TJKG17426114P2HTC</t>
  </si>
  <si>
    <t>CN0TJKG17426114P2JAC</t>
  </si>
  <si>
    <t>CN0TJKG17426114P2JGC</t>
  </si>
  <si>
    <t>CN0TJKG17426114P15MC</t>
  </si>
  <si>
    <t>CN0TJKG17426114P2HRC</t>
  </si>
  <si>
    <t>CN0TJKG17426114P2J5C</t>
  </si>
  <si>
    <t>CN0TJKG17426114P1THC</t>
  </si>
  <si>
    <t>CN0TJKG17426114P1TFC</t>
  </si>
  <si>
    <t>CN0TJKG17426114P0ELC</t>
  </si>
  <si>
    <t>CN0TJKG17426114P2J6C</t>
  </si>
  <si>
    <t>CN0TJKG17426114P2J7C</t>
  </si>
  <si>
    <t>CN0TJKG17426114P2JDC</t>
  </si>
  <si>
    <t>CN0TJKG17426114P1TJC</t>
  </si>
  <si>
    <t>CDM4HQ1</t>
  </si>
  <si>
    <t>34DYHQ1</t>
  </si>
  <si>
    <t>34DXHQ1</t>
  </si>
  <si>
    <t>34FWHQ1</t>
  </si>
  <si>
    <t>CN0U072N6418012J2EBL</t>
  </si>
  <si>
    <t>CN0U072N6418012J2E2L</t>
  </si>
  <si>
    <t>CN0U072N6418012J2EGL</t>
  </si>
  <si>
    <t>8WZ4HQ1</t>
  </si>
  <si>
    <t>C0B5HQ1</t>
  </si>
  <si>
    <t>CSZ5HQ1</t>
  </si>
  <si>
    <t>BTD5HQ1</t>
  </si>
  <si>
    <t>C4C6HQ1</t>
  </si>
  <si>
    <t>CNOR352P7519111O2044</t>
  </si>
  <si>
    <t>CNOR352P7519111O2045</t>
  </si>
  <si>
    <t>CN0R126K4822011H055N</t>
  </si>
  <si>
    <t>CN0R126K4822011H03BA</t>
  </si>
  <si>
    <t>CN0R126K4822011H03EX</t>
  </si>
  <si>
    <t>CN0R126K4822011H03B7</t>
  </si>
  <si>
    <t>CN0R126K4822011H055J</t>
  </si>
  <si>
    <t>CN0R126K4822011H03ES</t>
  </si>
  <si>
    <t>CN0R126K4822011H03KB</t>
  </si>
  <si>
    <t>CN0R126K4822011H03B1</t>
  </si>
  <si>
    <t>CN0R126K4822011H0566</t>
  </si>
  <si>
    <t>CN0R126K4822011H05AJ</t>
  </si>
  <si>
    <t>CN0R126K4822011H0313</t>
  </si>
  <si>
    <t>CN0R126K4822011H03AV</t>
  </si>
  <si>
    <t>CN0R126K4822011H0568</t>
  </si>
  <si>
    <t>CN0R126K4822011H055B</t>
  </si>
  <si>
    <t>CN0R126K4822011H03FU</t>
  </si>
  <si>
    <t>CN0R126K4822011H03KD</t>
  </si>
  <si>
    <t>CN0R126K4822011H055O</t>
  </si>
  <si>
    <t>CN0R126K4822011H05AG</t>
  </si>
  <si>
    <t>CN0R126K4822011H055M</t>
  </si>
  <si>
    <t>CN0R126K4822011H057J</t>
  </si>
  <si>
    <t>CN0R126K4822011H0565</t>
  </si>
  <si>
    <t>CN0R126K4822011H055L</t>
  </si>
  <si>
    <t>CN0R126K4822011H03KF</t>
  </si>
  <si>
    <t>CN0R126K4822011H057I</t>
  </si>
  <si>
    <t>CN0R126K4822011H03EW</t>
  </si>
  <si>
    <t>CN0R126K4822011H0582</t>
  </si>
  <si>
    <t>CN0R126K4822011H0567</t>
  </si>
  <si>
    <t>CN0R126K4822011H03FV</t>
  </si>
  <si>
    <t>CN0R126K4822011H057D</t>
  </si>
  <si>
    <t>CN0R126K4822011H05AD</t>
  </si>
  <si>
    <t>CN0R126K4822011H057G</t>
  </si>
  <si>
    <t>CN0R126K4822011H0578</t>
  </si>
  <si>
    <t>CN0R126K4822011H057C</t>
  </si>
  <si>
    <t>CN0R126K4822011H057F</t>
  </si>
  <si>
    <t>CN0R126K4822011H055C</t>
  </si>
  <si>
    <t>CN0R126K4822011H03KC</t>
  </si>
  <si>
    <t>CN0R126K4822011H03EV</t>
  </si>
  <si>
    <t>CN0D176P64180137300S</t>
  </si>
  <si>
    <t>CN0D176P641801372X9S</t>
  </si>
  <si>
    <t>CN0D176P641801372Z7S</t>
  </si>
  <si>
    <t>CN0D176P6418014D14TL</t>
  </si>
  <si>
    <t>CN0D176P6418014D148L</t>
  </si>
  <si>
    <t>CN0D176P64180137301S</t>
  </si>
  <si>
    <t>CN0D176P641801372ZWS</t>
  </si>
  <si>
    <t>CN0D176P641801372ZRS</t>
  </si>
  <si>
    <t>CN0D176P641801372ZUS</t>
  </si>
  <si>
    <t>CN0D176P641801372ZXS</t>
  </si>
  <si>
    <t>CN0D176P6418014D145L</t>
  </si>
  <si>
    <t>CN0D176P641801372ZVS</t>
  </si>
  <si>
    <t>CN0D176P641801372ZTS</t>
  </si>
  <si>
    <t>CN0D176P641801372ZNS</t>
  </si>
  <si>
    <t>CN0D176P64180137302S</t>
  </si>
  <si>
    <t>CN0D176P641801372ZZS</t>
  </si>
  <si>
    <t>CN0D176P6418014D14DL</t>
  </si>
  <si>
    <t>CN0D176P641801372YVS</t>
  </si>
  <si>
    <t>CN0D176P641801372Z5S</t>
  </si>
  <si>
    <t>CN0D176P641801372YYS</t>
  </si>
  <si>
    <t>CN0D176P641801372ZPS</t>
  </si>
  <si>
    <t>CN0D176P641801372YSS</t>
  </si>
  <si>
    <t>CN0D176P6418014D154L</t>
  </si>
  <si>
    <t>CN0D176P641801372ZYS</t>
  </si>
  <si>
    <t>CN0D176P641801372Z4S</t>
  </si>
  <si>
    <t>CN0D176P641801372ZBS</t>
  </si>
  <si>
    <t>CN0D176P641801372ZES</t>
  </si>
  <si>
    <t>CN0D176P6418014D15NL</t>
  </si>
  <si>
    <t>CN0D176P641801372ZAS</t>
  </si>
  <si>
    <t>CN0D176P641801372Z8S</t>
  </si>
  <si>
    <t>CN0D176P641801372Z3S</t>
  </si>
  <si>
    <t>CN0D176P6418014D149L</t>
  </si>
  <si>
    <t>CN0D176P641801372Z6S</t>
  </si>
  <si>
    <t>CN0D176P641801372ZCS</t>
  </si>
  <si>
    <t>CN0D176P641801372Z0S</t>
  </si>
  <si>
    <t>CN0D176P641801372YPS</t>
  </si>
  <si>
    <t>CN0D176P6418013N09ES</t>
  </si>
  <si>
    <t>JWGVHQ1</t>
  </si>
  <si>
    <t>JWGDHQ1</t>
  </si>
  <si>
    <t>JWHBHQ1</t>
  </si>
  <si>
    <t>JWGQHQ1</t>
  </si>
  <si>
    <t>JWFNHQ1</t>
  </si>
  <si>
    <t>JWGFHQ1</t>
  </si>
  <si>
    <t>JWFJHQ1</t>
  </si>
  <si>
    <t>JWGNHQ1</t>
  </si>
  <si>
    <t>JWGKHQ1</t>
  </si>
  <si>
    <t>JWFLHQ1</t>
  </si>
  <si>
    <t>JWH8HQ1</t>
  </si>
  <si>
    <t>JWG8HQ1</t>
  </si>
  <si>
    <t>JWGGHQ1</t>
  </si>
  <si>
    <t>JWGRHQ1</t>
  </si>
  <si>
    <t>JWG9HQ1</t>
  </si>
  <si>
    <t>JWGSHQ1</t>
  </si>
  <si>
    <t>JWH7HQ1</t>
  </si>
  <si>
    <t>JWFGHQ1</t>
  </si>
  <si>
    <t>JWGTHQ1</t>
  </si>
  <si>
    <t>JWGHHQ1</t>
  </si>
  <si>
    <t>JWGJHQ1</t>
  </si>
  <si>
    <t>JWFMHQ1</t>
  </si>
  <si>
    <t>JWFHHQ1</t>
  </si>
  <si>
    <t>JWGBHQ1</t>
  </si>
  <si>
    <t>JWG7HQ1</t>
  </si>
  <si>
    <t>JWGCHQ1</t>
  </si>
  <si>
    <t>JWFQHQ1</t>
  </si>
  <si>
    <t>JWGLHQ1</t>
  </si>
  <si>
    <t>JWFSHQ1</t>
  </si>
  <si>
    <t>JWH9HQ1</t>
  </si>
  <si>
    <t>JWFRHQ1</t>
  </si>
  <si>
    <t>JWFVHQ1</t>
  </si>
  <si>
    <t>JWFKHQ1</t>
  </si>
  <si>
    <t>JWGPHQ1</t>
  </si>
  <si>
    <t>JWGMHQ1</t>
  </si>
  <si>
    <t>JWFPHQ1</t>
  </si>
  <si>
    <t>JWFTHQ1</t>
  </si>
  <si>
    <t>CN0R126K4822011H0589</t>
  </si>
  <si>
    <t>CN0U464N482200CR016V</t>
  </si>
  <si>
    <t>MX04X6C07426213A26EU</t>
  </si>
  <si>
    <t>CN0D97Y97287211R05CL</t>
  </si>
  <si>
    <t>CN0D97Y97287211R05DL</t>
  </si>
  <si>
    <t>CN0F779N7426114O1E7U</t>
  </si>
  <si>
    <t>861YHQ1</t>
  </si>
  <si>
    <t>JYWZGQ1</t>
  </si>
  <si>
    <t>91LXHQ1</t>
  </si>
  <si>
    <t>7BDTHQ1</t>
  </si>
  <si>
    <t>7BGSHQ1</t>
  </si>
  <si>
    <t>CN0D97Y97287211R058L</t>
  </si>
  <si>
    <t>CN0GRNWX728720CODMEI</t>
  </si>
  <si>
    <t>CN0GRNWX728720CODM5I</t>
  </si>
  <si>
    <t>CN0GRNWX728720CODJYI</t>
  </si>
  <si>
    <t>CN0U829K7287213G2T2M</t>
  </si>
  <si>
    <t>CN0F779N7426114N0DNU</t>
  </si>
  <si>
    <t>CN09M62C7426114J22LL</t>
  </si>
  <si>
    <t>CN09M62C7426114J22GL</t>
  </si>
  <si>
    <t>FLSBHQ1</t>
  </si>
  <si>
    <t>FLRJHQ1</t>
  </si>
  <si>
    <t>661XHQ1</t>
  </si>
  <si>
    <t>JYFCFQ1</t>
  </si>
  <si>
    <t>JYFBHQ1</t>
  </si>
  <si>
    <t>JYFCDQ1</t>
  </si>
  <si>
    <t>JYFDFQ1</t>
  </si>
  <si>
    <t>941YHQ1</t>
  </si>
  <si>
    <t>JS1QHQ1</t>
  </si>
  <si>
    <t>JRYTHQ1</t>
  </si>
  <si>
    <t>JRXTHQ1</t>
  </si>
  <si>
    <t>JRWPHQ1</t>
  </si>
  <si>
    <t>JRXQHQ1</t>
  </si>
  <si>
    <t>JRYPHQ1</t>
  </si>
  <si>
    <t>JRYNHQ1</t>
  </si>
  <si>
    <t>JRZRHQ1</t>
  </si>
  <si>
    <t>JRWNHQ1</t>
  </si>
  <si>
    <t>JRVSHQ1</t>
  </si>
  <si>
    <t>JRZQHQ1</t>
  </si>
  <si>
    <t>JS0QHQ1</t>
  </si>
  <si>
    <t>JRYQHQ1</t>
  </si>
  <si>
    <t>JRYSHQ1</t>
  </si>
  <si>
    <t>JS1RHQ1</t>
  </si>
  <si>
    <t>JRZTHQ1</t>
  </si>
  <si>
    <t>JS0RHQ1</t>
  </si>
  <si>
    <t>JRXSHQ1</t>
  </si>
  <si>
    <t>JS0NHQ1</t>
  </si>
  <si>
    <t>JRXPHQ1</t>
  </si>
  <si>
    <t>JRVTHQ1</t>
  </si>
  <si>
    <t>JRYRHQ1</t>
  </si>
  <si>
    <t>JRZSHQ1</t>
  </si>
  <si>
    <t>JS0SHQ1</t>
  </si>
  <si>
    <t>JS1PHQ1</t>
  </si>
  <si>
    <t>JRWQHQ1</t>
  </si>
  <si>
    <t>JRXRHQ1</t>
  </si>
  <si>
    <t>JRZPHQ1</t>
  </si>
  <si>
    <t>JRWTHQ1</t>
  </si>
  <si>
    <t>JRWSHQ1</t>
  </si>
  <si>
    <t>JRXNHQ1</t>
  </si>
  <si>
    <t>JRZNHQ1</t>
  </si>
  <si>
    <t>JS0THQ1</t>
  </si>
  <si>
    <t>JRWRHQ1</t>
  </si>
  <si>
    <t>JS0PHQ1</t>
  </si>
  <si>
    <t>JS0VHQ1</t>
  </si>
  <si>
    <t>JS1NHQ1</t>
  </si>
  <si>
    <t>CN0R126K4822011H0564</t>
  </si>
  <si>
    <t>CN0R126K4822011H052K</t>
  </si>
  <si>
    <t>CN0R126K4822011H056N</t>
  </si>
  <si>
    <t>CN0R126K4822011H051B</t>
  </si>
  <si>
    <t>CN0R126K4822011H0529</t>
  </si>
  <si>
    <t>CN0R126K4822011H03FW</t>
  </si>
  <si>
    <t>CN0R126K4822011H052S</t>
  </si>
  <si>
    <t>CN0R126K4822011H052L</t>
  </si>
  <si>
    <t>CN0R126K4822011H051S</t>
  </si>
  <si>
    <t>CN0R126K4822011H051M</t>
  </si>
  <si>
    <t>CN0R126K4822011H051L</t>
  </si>
  <si>
    <t>CN0R126K4822011H051D</t>
  </si>
  <si>
    <t>CN0R126K4822011H055U</t>
  </si>
  <si>
    <t>CN0R126K4822011H0569</t>
  </si>
  <si>
    <t>CN0R126K4822011H051A</t>
  </si>
  <si>
    <t>CN0R126K4822011H0528</t>
  </si>
  <si>
    <t>CN0R126K4822011H055V</t>
  </si>
  <si>
    <t>CN0R126K4822011H0527</t>
  </si>
  <si>
    <t>CN0R126K4822011H0524</t>
  </si>
  <si>
    <t>CN0R126K4822011H052A</t>
  </si>
  <si>
    <t>CN0R126K4822011H0563</t>
  </si>
  <si>
    <t>CN0R126K4822011H052R</t>
  </si>
  <si>
    <t>CN0R126K4822011H052O</t>
  </si>
  <si>
    <t>CN0R126K4822011H056O</t>
  </si>
  <si>
    <t>CN0R126K4822011H052M</t>
  </si>
  <si>
    <t>CN0R126K4822011H052P</t>
  </si>
  <si>
    <t>CN0R126K4822011H0525</t>
  </si>
  <si>
    <t>CN0R126K4822011H0519</t>
  </si>
  <si>
    <t>CN0R126K4822011H051K</t>
  </si>
  <si>
    <t>CN0R126K4822011H051J</t>
  </si>
  <si>
    <t>CN0R126K4822011H052Q</t>
  </si>
  <si>
    <t>CN0R126K4822011H052N</t>
  </si>
  <si>
    <t>CN0R126K4822011H0580</t>
  </si>
  <si>
    <t>CN0R126K4822011H0526</t>
  </si>
  <si>
    <t>CN0R126K4822011H056B</t>
  </si>
  <si>
    <t>CN0R126K4822011H051T</t>
  </si>
  <si>
    <t>CN0R126K4822011H051C</t>
  </si>
  <si>
    <t>CN0D176P6418013M180L</t>
  </si>
  <si>
    <t>CN0D176P6418013M17WL</t>
  </si>
  <si>
    <t>CN0D176P6418013M17YL</t>
  </si>
  <si>
    <t>CN0D176P6418013M182L</t>
  </si>
  <si>
    <t>CN0D176P6418013M183L</t>
  </si>
  <si>
    <t>CN0D176P6418013M17RL</t>
  </si>
  <si>
    <t>CN0D176P6418013M181L</t>
  </si>
  <si>
    <t>CN0D176P6418013M17SL</t>
  </si>
  <si>
    <t>CN0D176P6418013M17ZL</t>
  </si>
  <si>
    <t>CN0D176P6418013M17XL</t>
  </si>
  <si>
    <t>CN0D176P6418013M17VL</t>
  </si>
  <si>
    <t>CN0D176P6418013M17UL</t>
  </si>
  <si>
    <t>CN0D176P6418013M17KL</t>
  </si>
  <si>
    <t>CN0D176P6418013M18NL</t>
  </si>
  <si>
    <t>CN0D176P6418013M17TL</t>
  </si>
  <si>
    <t>CN0D176P6418013M17LL</t>
  </si>
  <si>
    <t>CN0D176P6418013M18ML</t>
  </si>
  <si>
    <t>CN0D176P6418013M18KL</t>
  </si>
  <si>
    <t>CN0D176P6418013M18SL</t>
  </si>
  <si>
    <t>CN0D176P6418013M18FL</t>
  </si>
  <si>
    <t>CN0D176P6418013M18WL</t>
  </si>
  <si>
    <t>CN0D176P6418013M188L</t>
  </si>
  <si>
    <t>CN0D176P6418013M18AL</t>
  </si>
  <si>
    <t>CN0D176P6418013M18UL</t>
  </si>
  <si>
    <t>CN0D176P6418013M18TL</t>
  </si>
  <si>
    <t>CN0D176P6418013M18QL</t>
  </si>
  <si>
    <t>CN0D176P6418013M18XL</t>
  </si>
  <si>
    <t>CN0D176P6418013M189L</t>
  </si>
  <si>
    <t>CN0D176P6418013M18YL</t>
  </si>
  <si>
    <t>CN0D176P6418013M174L</t>
  </si>
  <si>
    <t>CN0D176P6418013M18ZL</t>
  </si>
  <si>
    <t>CN0D176P6418013M18GL</t>
  </si>
  <si>
    <t>CN0D176P6418013M187L</t>
  </si>
  <si>
    <t>CN0D176P6418013M186L</t>
  </si>
  <si>
    <t>CN0D176P6418013M18RL</t>
  </si>
  <si>
    <t>CN0D176P6418013M18CL</t>
  </si>
  <si>
    <t>CN0D176P6418013M18VL</t>
  </si>
  <si>
    <t>CN0R126K4822011P0461</t>
  </si>
  <si>
    <t>CN0D176P6418014D13YL</t>
  </si>
  <si>
    <t>CN0RNMH67444513OAMYL</t>
  </si>
  <si>
    <t>CN0U072N6418014T0CXL</t>
  </si>
  <si>
    <t>CN0KKJMT7426114U2TRL</t>
  </si>
  <si>
    <t>FPTVHQ1</t>
  </si>
  <si>
    <t>69WWHQ1</t>
  </si>
  <si>
    <t>JYFPGQ1</t>
  </si>
  <si>
    <t>6LLXHQ1</t>
  </si>
  <si>
    <t>6NZVHQ1</t>
  </si>
  <si>
    <t>6NYWHQ1</t>
  </si>
  <si>
    <t>6NYXHQ1</t>
  </si>
  <si>
    <t>CN0TYXD97444514JAANS</t>
  </si>
  <si>
    <t>CN0TYXD97444514JA8PS</t>
  </si>
  <si>
    <t>CN0TYXD97444514KA4VS</t>
  </si>
  <si>
    <t>JTZQHQ1</t>
  </si>
  <si>
    <t>JTWTHQ1</t>
  </si>
  <si>
    <t>JTWRHQ1</t>
  </si>
  <si>
    <t>JTXNHQ1</t>
  </si>
  <si>
    <t>JTWQHQ1</t>
  </si>
  <si>
    <t>JTXTHQ1</t>
  </si>
  <si>
    <t>JTYSHQ1</t>
  </si>
  <si>
    <t>JTXSHQ1</t>
  </si>
  <si>
    <t>JTYQHQ1</t>
  </si>
  <si>
    <t>JTZNHQ1</t>
  </si>
  <si>
    <t>JTZPHQ1</t>
  </si>
  <si>
    <t>JV0SHQ1</t>
  </si>
  <si>
    <t>JV0NHQ1</t>
  </si>
  <si>
    <t>JTZSHQ1</t>
  </si>
  <si>
    <t>JTWNHQ1</t>
  </si>
  <si>
    <t>JTZRHQ1</t>
  </si>
  <si>
    <t>JTYRHQ1</t>
  </si>
  <si>
    <t>JTXPHQ1</t>
  </si>
  <si>
    <t>JTXQHQ1</t>
  </si>
  <si>
    <t>JTWSHQ1</t>
  </si>
  <si>
    <t>JV0RHQ1</t>
  </si>
  <si>
    <t>JV0VHQ1</t>
  </si>
  <si>
    <t>JTVPHQ1</t>
  </si>
  <si>
    <t>JV0QHQ1</t>
  </si>
  <si>
    <t>JTZTHQ1</t>
  </si>
  <si>
    <t>JTVTHQ1</t>
  </si>
  <si>
    <t>JTWPHQ1</t>
  </si>
  <si>
    <t>JTYNHQ1</t>
  </si>
  <si>
    <t>JV0THQ1</t>
  </si>
  <si>
    <t>JV0PHQ1</t>
  </si>
  <si>
    <t>JTVRHQ1</t>
  </si>
  <si>
    <t>JTVQHQ1</t>
  </si>
  <si>
    <t>JTYPHQ1</t>
  </si>
  <si>
    <t>JV1NHQ1</t>
  </si>
  <si>
    <t>JTVSHQ1</t>
  </si>
  <si>
    <t>JTYTHQ1</t>
  </si>
  <si>
    <t>JTXRHQ1</t>
  </si>
  <si>
    <t>CN0R126K4822011H0581</t>
  </si>
  <si>
    <t>CN0R126K4822011P04D6</t>
  </si>
  <si>
    <t>CN0R126K4822011P04CV</t>
  </si>
  <si>
    <t>CN0R126K4822011H0558</t>
  </si>
  <si>
    <t>CN0R126K4822011H055A</t>
  </si>
  <si>
    <t>CN0R126K4822011H058F</t>
  </si>
  <si>
    <t>CN0R126K4822011P0475</t>
  </si>
  <si>
    <t>CN0R126K4822011H0554</t>
  </si>
  <si>
    <t>CN0R126K4822011H0553</t>
  </si>
  <si>
    <t>CN0R126K4822011H058G</t>
  </si>
  <si>
    <t>CN0R126K4822011P0477</t>
  </si>
  <si>
    <t>CN0R126K4822011H058M</t>
  </si>
  <si>
    <t>CN0R126K4822011H0559</t>
  </si>
  <si>
    <t>CN0R126K4822011H058N</t>
  </si>
  <si>
    <t>CN0R126K4822011H0552</t>
  </si>
  <si>
    <t>CN0R126K4822011H0557</t>
  </si>
  <si>
    <t>CN0R126K4822011P04CT</t>
  </si>
  <si>
    <t>CN0R126K4822011H057V</t>
  </si>
  <si>
    <t>CN0R126K4822011P0469</t>
  </si>
  <si>
    <t>CN0R126K4822011P0479</t>
  </si>
  <si>
    <t>CN0R126K4822011P04CR</t>
  </si>
  <si>
    <t>CN0R126K4822011P04D3</t>
  </si>
  <si>
    <t>CN0R126K4822011P04CX</t>
  </si>
  <si>
    <t>CN0R126K4822011P0472</t>
  </si>
  <si>
    <t>CN0R126K4822011H0555</t>
  </si>
  <si>
    <t>CN0R126K4822011P0473</t>
  </si>
  <si>
    <t>CN0R126K4822011P0476</t>
  </si>
  <si>
    <t>CN0R126K4822011H0556</t>
  </si>
  <si>
    <t>CN0R126K4822011H057U</t>
  </si>
  <si>
    <t>CN0R126K4822011P04D4</t>
  </si>
  <si>
    <t>CN0R126K4822011P0478</t>
  </si>
  <si>
    <t>CN0R126K4822011P0471</t>
  </si>
  <si>
    <t>CN0R126K4822011H058J</t>
  </si>
  <si>
    <t>CN0R126K4822011P04D0</t>
  </si>
  <si>
    <t>CN0R126K4822011P04D5</t>
  </si>
  <si>
    <t>CN0R126K4822011H057T</t>
  </si>
  <si>
    <t>CN0R126K4822011P0474</t>
  </si>
  <si>
    <t>CN0D176P6418013N0B9S</t>
  </si>
  <si>
    <t>CN0D176P6418013N0BES</t>
  </si>
  <si>
    <t>CN0D176P6418014D14ZL</t>
  </si>
  <si>
    <t>CN0D176P6418014D160L</t>
  </si>
  <si>
    <t>CN0D176P6418013M18EL</t>
  </si>
  <si>
    <t>CN0D176P6418013M18DL</t>
  </si>
  <si>
    <t>CN0D176P6418013M17QL</t>
  </si>
  <si>
    <t>CN0D176P6418013M17PL</t>
  </si>
  <si>
    <t>CN0D176P6418013M17NL</t>
  </si>
  <si>
    <t>CN0D176P6418013N0BPS</t>
  </si>
  <si>
    <t>CN0D176P6418013N0A5S</t>
  </si>
  <si>
    <t>CN0D176P6418013N09JS</t>
  </si>
  <si>
    <t>CN0D176P6418013M18HL</t>
  </si>
  <si>
    <t>CN0D176P6418013M17DL</t>
  </si>
  <si>
    <t>CN0D176P6418013M17FL</t>
  </si>
  <si>
    <t>CN0D176P6418013N0BNS</t>
  </si>
  <si>
    <t>CN0D176P6418013N0BDS</t>
  </si>
  <si>
    <t>CN0D176P6418013N0BLS</t>
  </si>
  <si>
    <t>CN0D176P6418013M17JL</t>
  </si>
  <si>
    <t>CN0D176P6418013M17GL</t>
  </si>
  <si>
    <t>CN0D176P6418013N0BFS</t>
  </si>
  <si>
    <t>CN0D176P6418013N0A7S</t>
  </si>
  <si>
    <t>CN0D176P6418013N0BKS</t>
  </si>
  <si>
    <t>CN0D176P6418013N0AZS</t>
  </si>
  <si>
    <t>CN0D176P6418013M185L</t>
  </si>
  <si>
    <t>CN0D176P6418013M18PL</t>
  </si>
  <si>
    <t>CN0D176P6418013M17HL</t>
  </si>
  <si>
    <t>CN0D176P6418013N09YS</t>
  </si>
  <si>
    <t>CN0D176P6418013N09US</t>
  </si>
  <si>
    <t>CN0D176P6418014D151L</t>
  </si>
  <si>
    <t>CN0D176P6418013M17EL</t>
  </si>
  <si>
    <t>CN0D176P6418013M18LL</t>
  </si>
  <si>
    <t>CN0D176P6418013M18JL</t>
  </si>
  <si>
    <t>CN0D176P6418013N01XS</t>
  </si>
  <si>
    <t>CN0D176P6418013N0B8S</t>
  </si>
  <si>
    <t>CN0D176P6418014D14SL</t>
  </si>
  <si>
    <t>CN0D176P6418013M18BL</t>
  </si>
  <si>
    <t>C8S5HQ1</t>
  </si>
  <si>
    <t>C8T5HQ1</t>
  </si>
  <si>
    <t>C8V4HQ1</t>
  </si>
  <si>
    <t>C8T4HQ1</t>
  </si>
  <si>
    <t>C8V3HQ1</t>
  </si>
  <si>
    <t>C8V6HQ1</t>
  </si>
  <si>
    <t>C8V5HQ1</t>
  </si>
  <si>
    <t>C8T3HQ1</t>
  </si>
  <si>
    <t>C8T6HQ1</t>
  </si>
  <si>
    <t>C8S6HQ1</t>
  </si>
  <si>
    <t>C8R5HQ1</t>
  </si>
  <si>
    <t>C8R6HQ1</t>
  </si>
  <si>
    <t>C8Q6HQ1</t>
  </si>
  <si>
    <t>C8S4HQ1</t>
  </si>
  <si>
    <t>C8Q4HQ1</t>
  </si>
  <si>
    <t>C8P6HQ1</t>
  </si>
  <si>
    <t>C8R4HQ1</t>
  </si>
  <si>
    <t>C8P5HQ1</t>
  </si>
  <si>
    <t>C8S3HQ1</t>
  </si>
  <si>
    <t>C8Q5HQ1</t>
  </si>
  <si>
    <t>339YHQ1</t>
  </si>
  <si>
    <t>339WHQ1</t>
  </si>
  <si>
    <t>339XHQ1</t>
  </si>
  <si>
    <t>B6S4HQ1</t>
  </si>
  <si>
    <t>CN0DW711716230C60127</t>
  </si>
  <si>
    <t>CN0DW711716230C60131</t>
  </si>
  <si>
    <t>CN0DW711716230C60058</t>
  </si>
  <si>
    <t>CN0D176P6418013M0HGL</t>
  </si>
  <si>
    <t>CN0D176P6418013M0HJL</t>
  </si>
  <si>
    <t>CN0D176P6418013M0LFL</t>
  </si>
  <si>
    <t>C5G6HQ1</t>
  </si>
  <si>
    <t>DJ45HQ1</t>
  </si>
  <si>
    <t>DJ54HQ1</t>
  </si>
  <si>
    <t>DJ46HQ1</t>
  </si>
  <si>
    <t>DJ55HQ1</t>
  </si>
  <si>
    <t>329YHQ1</t>
  </si>
  <si>
    <t>DC56HQ1</t>
  </si>
  <si>
    <t>D3Q6HQ1</t>
  </si>
  <si>
    <t>C855HQ1</t>
  </si>
  <si>
    <t>342XHQ1</t>
  </si>
  <si>
    <t>C7V5HQ1</t>
  </si>
  <si>
    <t>C7Y3HQ1</t>
  </si>
  <si>
    <t>CN0VHPX37444513RA5MS</t>
  </si>
  <si>
    <t>CN0U072N641801470VBC</t>
  </si>
  <si>
    <t>CN0D176P6418013816PS</t>
  </si>
  <si>
    <t>CN0D176P64180138181S</t>
  </si>
  <si>
    <t>CN0D176P6418013811ES</t>
  </si>
  <si>
    <t>CN0D176P6418013816FS</t>
  </si>
  <si>
    <t>CN0D176P6418013816RS</t>
  </si>
  <si>
    <t>CN0D176P6418013815GS</t>
  </si>
  <si>
    <t>CN0D176P64180138163S</t>
  </si>
  <si>
    <t>CN0D176P6418013813PS</t>
  </si>
  <si>
    <t>CN0D176P6418013811HS</t>
  </si>
  <si>
    <t>CN0D176P6418013816US</t>
  </si>
  <si>
    <t>CN0D176P641801380EFS</t>
  </si>
  <si>
    <t>CN0D176P6418013815JS</t>
  </si>
  <si>
    <t>CN0D176P6418013815HS</t>
  </si>
  <si>
    <t>CN0D176P6418013812AS</t>
  </si>
  <si>
    <t>CN0D176P6418013816JS</t>
  </si>
  <si>
    <t>CN0D176P6418013818DS</t>
  </si>
  <si>
    <t>CN0D176P6418013816TS</t>
  </si>
  <si>
    <t>CN0D176P6418013812ES</t>
  </si>
  <si>
    <t>CN0D176P6418013813ZS</t>
  </si>
  <si>
    <t>CN0D176P6418013818AS</t>
  </si>
  <si>
    <t>CN0D176P64180138182S</t>
  </si>
  <si>
    <t>CN0D176P64180138164S</t>
  </si>
  <si>
    <t>CN0D176P6418013816GS</t>
  </si>
  <si>
    <t>CN0D176P6418013812LS</t>
  </si>
  <si>
    <t>CN0D176P64180138188S</t>
  </si>
  <si>
    <t>CN0D176P6418013816MS</t>
  </si>
  <si>
    <t>CN0D176P64180138180S</t>
  </si>
  <si>
    <t>CN0D176P64180138162S</t>
  </si>
  <si>
    <t>CN0D176P6418013816HS</t>
  </si>
  <si>
    <t>CN0D176P6418013816SS</t>
  </si>
  <si>
    <t>CN0D176P64180138189S</t>
  </si>
  <si>
    <t>CN0D176P64180138186S</t>
  </si>
  <si>
    <t>CN0D176P64180138185S</t>
  </si>
  <si>
    <t>CN0D176P6418013818BS</t>
  </si>
  <si>
    <t>CN0D176P6418013817ZS</t>
  </si>
  <si>
    <t>CN0D176P6418013816XS</t>
  </si>
  <si>
    <t>CN0D176P64180138183S</t>
  </si>
  <si>
    <t>CN0R126K4822011P04UA</t>
  </si>
  <si>
    <t>CN0R126K4822011P02AH</t>
  </si>
  <si>
    <t>CN0R126K4822012E0377</t>
  </si>
  <si>
    <t>CN0R126K4822012E03SD</t>
  </si>
  <si>
    <t>CN0R126K4822012E03SC</t>
  </si>
  <si>
    <t>CN0R126K4822011P047F</t>
  </si>
  <si>
    <t>CN0R126K4822011P045Y</t>
  </si>
  <si>
    <t>CN0R126K4822011P02AF</t>
  </si>
  <si>
    <t>CN0R126K4822011P029J</t>
  </si>
  <si>
    <t>CN0R126K4822011P02AG</t>
  </si>
  <si>
    <t>CN0R126K4822012E03SM</t>
  </si>
  <si>
    <t>CN0R126K4822012E03SQ</t>
  </si>
  <si>
    <t>CN0R126K4822011P04C1</t>
  </si>
  <si>
    <t>CN0R126K4822011P04BX</t>
  </si>
  <si>
    <t>CN0R126K4822011P03Z8</t>
  </si>
  <si>
    <t>CN0R126K4822012E03SB</t>
  </si>
  <si>
    <t>CN0R126K4822011P04BY</t>
  </si>
  <si>
    <t>CN0R126K4822012E0376</t>
  </si>
  <si>
    <t>CN0R126K4822011P029G</t>
  </si>
  <si>
    <t>CN0R126K4822011P04BS</t>
  </si>
  <si>
    <t>CN0R126K4822011P03ZF</t>
  </si>
  <si>
    <t>CN0R126K4822011P029I</t>
  </si>
  <si>
    <t>CN0R126K4822012E03SJ</t>
  </si>
  <si>
    <t>CN0R126K4822011P047C</t>
  </si>
  <si>
    <t>CN0R126K4822012E03SS</t>
  </si>
  <si>
    <t>CN0R126K4822011P04BL</t>
  </si>
  <si>
    <t>CN0R126K4822011P029H</t>
  </si>
  <si>
    <t>CN0R126K4822012E03SP</t>
  </si>
  <si>
    <t>CN0R126K4822012E03SR</t>
  </si>
  <si>
    <t>CN0R126K4822011P04BW</t>
  </si>
  <si>
    <t>CN0R126K4822011P04C0</t>
  </si>
  <si>
    <t>CN0R126K4822012E03SL</t>
  </si>
  <si>
    <t>CN0R126K4822012F02L4</t>
  </si>
  <si>
    <t>CN0R126K4822012E03SN</t>
  </si>
  <si>
    <t>CN0R126K4822011P03Z2</t>
  </si>
  <si>
    <t>CN0R126K4822012E0373</t>
  </si>
  <si>
    <t>CN0R126K4822012E03SO</t>
  </si>
  <si>
    <t>JRRTHQ1</t>
  </si>
  <si>
    <t>JRVNHQ1</t>
  </si>
  <si>
    <t>JRVPHQ1</t>
  </si>
  <si>
    <t>JRQNHQ1</t>
  </si>
  <si>
    <t>JRTTHQ1</t>
  </si>
  <si>
    <t>JRTPHQ1</t>
  </si>
  <si>
    <t>JRQRHQ1</t>
  </si>
  <si>
    <t>JRNTHQ1</t>
  </si>
  <si>
    <t>JRSSHQ1</t>
  </si>
  <si>
    <t>JRRQHQ1</t>
  </si>
  <si>
    <t>JRSRHQ1</t>
  </si>
  <si>
    <t>JRVQHQ1</t>
  </si>
  <si>
    <t>JRSPHQ1</t>
  </si>
  <si>
    <t>JRPRHQ1</t>
  </si>
  <si>
    <t>JRRRHQ1</t>
  </si>
  <si>
    <t>JRRPHQ1</t>
  </si>
  <si>
    <t>JRTNHQ1</t>
  </si>
  <si>
    <t>JRPPHQ1</t>
  </si>
  <si>
    <t>JRSNHQ1</t>
  </si>
  <si>
    <t>JRPTHQ1</t>
  </si>
  <si>
    <t>JRSTHQ1</t>
  </si>
  <si>
    <t>JRNSHQ1</t>
  </si>
  <si>
    <t>JRPQHQ1</t>
  </si>
  <si>
    <t>JRTQHQ1</t>
  </si>
  <si>
    <t>JRSQHQ1</t>
  </si>
  <si>
    <t>JRQQHQ1</t>
  </si>
  <si>
    <t>JRNQHQ1</t>
  </si>
  <si>
    <t>JRQPHQ1</t>
  </si>
  <si>
    <t>JRQTHQ1</t>
  </si>
  <si>
    <t>JRRNHQ1</t>
  </si>
  <si>
    <t>JRTRHQ1</t>
  </si>
  <si>
    <t>JRPSHQ1</t>
  </si>
  <si>
    <t>JRTSHQ1</t>
  </si>
  <si>
    <t>JRRSHQ1</t>
  </si>
  <si>
    <t>JRQSHQ1</t>
  </si>
  <si>
    <t>JRPNHQ1</t>
  </si>
  <si>
    <t>JRNRHQ1</t>
  </si>
  <si>
    <t>CDRYHQ1</t>
  </si>
  <si>
    <t>CDSVHQ1</t>
  </si>
  <si>
    <t>CDSWHQ1</t>
  </si>
  <si>
    <t>CDQXHQ1</t>
  </si>
  <si>
    <t>CDTWHQ1</t>
  </si>
  <si>
    <t>CDQYHQ1</t>
  </si>
  <si>
    <t>CDSXHQ1</t>
  </si>
  <si>
    <t>CDTVHQ1</t>
  </si>
  <si>
    <t>CDQWHQ1</t>
  </si>
  <si>
    <t>CDRWHQ1</t>
  </si>
  <si>
    <t>CDRVHQ1</t>
  </si>
  <si>
    <t>CDTXHQ1</t>
  </si>
  <si>
    <t>CDQVHQ1</t>
  </si>
  <si>
    <t>CDRXHQ1</t>
  </si>
  <si>
    <t>346YHQ1</t>
  </si>
  <si>
    <t>349YHQ1</t>
  </si>
  <si>
    <t>34CXHQ1</t>
  </si>
  <si>
    <t>346XHQ1</t>
  </si>
  <si>
    <t>349WHQ1</t>
  </si>
  <si>
    <t>345WHQ1</t>
  </si>
  <si>
    <t>349XHQ1</t>
  </si>
  <si>
    <t>344XHQ1</t>
  </si>
  <si>
    <t>34CYHQ1</t>
  </si>
  <si>
    <t>34CWHQ1</t>
  </si>
  <si>
    <t>344YHQ1</t>
  </si>
  <si>
    <t>347YHQ1</t>
  </si>
  <si>
    <t>345XHQ1</t>
  </si>
  <si>
    <t>346WHQ1</t>
  </si>
  <si>
    <t>344WHQ1</t>
  </si>
  <si>
    <t>348XHQ1</t>
  </si>
  <si>
    <t>34BYHQ1</t>
  </si>
  <si>
    <t>347WHQ1</t>
  </si>
  <si>
    <t>345YHQ1</t>
  </si>
  <si>
    <t>343YHQ1</t>
  </si>
  <si>
    <t>347XHQ1</t>
  </si>
  <si>
    <t>348WHQ1</t>
  </si>
  <si>
    <t>348YHQ1</t>
  </si>
  <si>
    <t>34BWHQ1</t>
  </si>
  <si>
    <t>34BXHQ1</t>
  </si>
  <si>
    <t>CN077NPN7426114P1ETS</t>
  </si>
  <si>
    <t>CN077NPN7426114P1ENS</t>
  </si>
  <si>
    <t>CN077NPN7426114K1M0S</t>
  </si>
  <si>
    <t>CN077NPN7426114K2WUS</t>
  </si>
  <si>
    <t>CN077NPN7426114P1E1S</t>
  </si>
  <si>
    <t>CN077NPN7426114T5VLS</t>
  </si>
  <si>
    <t>CN077NPN7426114K1GCS</t>
  </si>
  <si>
    <t>CN077NPN7426114K1VJS</t>
  </si>
  <si>
    <t>CN077NPN7426114T5VGS</t>
  </si>
  <si>
    <t>CN077NPN7426114K1NKS</t>
  </si>
  <si>
    <t>CN077NPN7426114K36FS</t>
  </si>
  <si>
    <t>CN077NPN7426114K1MYS</t>
  </si>
  <si>
    <t>CN077NPN7426114K1VHS</t>
  </si>
  <si>
    <t>CN077NPN7426114K66NS</t>
  </si>
  <si>
    <t>CN077NPN7426114K1K8S</t>
  </si>
  <si>
    <t>CN077NPN7426114K6WNS</t>
  </si>
  <si>
    <t>CN077NPN7426114K3KUS</t>
  </si>
  <si>
    <t>CN077NPN7426114K1UTS</t>
  </si>
  <si>
    <t>CN077NPN7426114K1U6S</t>
  </si>
  <si>
    <t>CN077NPN7426114K3AUS</t>
  </si>
  <si>
    <t>CN077NPN7426114K6YAS</t>
  </si>
  <si>
    <t>CN077NPN7426114K1V1S</t>
  </si>
  <si>
    <t>CN077NPN7426114K3K3S</t>
  </si>
  <si>
    <t>CN077NPN7426114K6WYS</t>
  </si>
  <si>
    <t>CN077NPN7426114K0YUS</t>
  </si>
  <si>
    <t>DBX6HQ1</t>
  </si>
  <si>
    <t>DBY6HQ1</t>
  </si>
  <si>
    <t>DBZ5HQ1</t>
  </si>
  <si>
    <t>DBZ6HQ1</t>
  </si>
  <si>
    <t>DBZ4HQ1</t>
  </si>
  <si>
    <t>DBY4HQ1</t>
  </si>
  <si>
    <t>DBZ3HQ1</t>
  </si>
  <si>
    <t>DBX5HQ1</t>
  </si>
  <si>
    <t>DBY5HQ1</t>
  </si>
  <si>
    <t>DBY3HQ1</t>
  </si>
  <si>
    <t>CN0F779N7426114K056U</t>
  </si>
  <si>
    <t>CN0F779N7426114K04KU</t>
  </si>
  <si>
    <t>3LMVHQ1</t>
  </si>
  <si>
    <t>3LMWHQ1</t>
  </si>
  <si>
    <t>3LNWHQ1</t>
  </si>
  <si>
    <t>3LMYHQ1</t>
  </si>
  <si>
    <t>CN0F779N7426114K04WU</t>
  </si>
  <si>
    <t>CN0F779N7426114K04AU</t>
  </si>
  <si>
    <t>CN0F779N7426114K04NU</t>
  </si>
  <si>
    <t>CN0F779N7426114K040U</t>
  </si>
  <si>
    <t>3LNVHQ1</t>
  </si>
  <si>
    <t>3LMXHQ1</t>
  </si>
  <si>
    <t>DHX4HQ1</t>
  </si>
  <si>
    <t>DHY3HQ1</t>
  </si>
  <si>
    <t>DHX5HQ1</t>
  </si>
  <si>
    <t>DHX6HQ1</t>
  </si>
  <si>
    <t>DJ36HQ1</t>
  </si>
  <si>
    <t>DJ44HQ1</t>
  </si>
  <si>
    <t>DJ35HQ1</t>
  </si>
  <si>
    <t>DJ34HQ1</t>
  </si>
  <si>
    <t>CZS3HQ1</t>
  </si>
  <si>
    <t>CZQ6HQ1</t>
  </si>
  <si>
    <t>CZR3HQ1</t>
  </si>
  <si>
    <t>3CQYHQ1</t>
  </si>
  <si>
    <t>266YHQ1</t>
  </si>
  <si>
    <t>CDPYHQ1</t>
  </si>
  <si>
    <t>D1L6HQ1</t>
  </si>
  <si>
    <t>CZL4HQ1</t>
  </si>
  <si>
    <t>3LKWHQ1</t>
  </si>
  <si>
    <t>CN0N01VP6418013708RM</t>
  </si>
  <si>
    <t>CN0F8NDP742611441WHU</t>
  </si>
  <si>
    <t>CN0F8NDP742611441WLU</t>
  </si>
  <si>
    <t>3CRVHQ1</t>
  </si>
  <si>
    <t>3LNYHQ1</t>
  </si>
  <si>
    <t>2X8WHQ1</t>
  </si>
  <si>
    <t>CN019K59641801390DML</t>
  </si>
  <si>
    <t>CN019K596418014617TL</t>
  </si>
  <si>
    <t>CN019K596418014616UL</t>
  </si>
  <si>
    <t>3LNXHQ1</t>
  </si>
  <si>
    <t>CN0F779N7426114O1T6U</t>
  </si>
  <si>
    <t>CN0F779N7426114O1RVU</t>
  </si>
  <si>
    <t>2X8XHQ1</t>
  </si>
  <si>
    <t>2X7YHQ1</t>
  </si>
  <si>
    <t>C8K4HQ1</t>
  </si>
  <si>
    <t>C8K5HQ1</t>
  </si>
  <si>
    <t>JZ2BHQ1</t>
  </si>
  <si>
    <t>JZ2CDQ1</t>
  </si>
  <si>
    <t>CN0U072N6418011R0NQC</t>
  </si>
  <si>
    <t>DHDRHQ1</t>
  </si>
  <si>
    <t>4KZWHQ1</t>
  </si>
  <si>
    <t>4KZVHQ1</t>
  </si>
  <si>
    <t>CN0KKJMT7426115405WL</t>
  </si>
  <si>
    <t>CN0KKJMT7426115408VL</t>
  </si>
  <si>
    <t>CN0D97Y97287211S0FGL</t>
  </si>
  <si>
    <t>CN0D97Y97287211S0F5L</t>
  </si>
  <si>
    <t>CN0RNMH67444513V572S</t>
  </si>
  <si>
    <t>6R2YHQ1</t>
  </si>
  <si>
    <t>24YXHQ1</t>
  </si>
  <si>
    <t>24YWHQ1</t>
  </si>
  <si>
    <t>24ZVHQ1</t>
  </si>
  <si>
    <t>CN0N01VP6418013J03YB</t>
  </si>
  <si>
    <t>CN0N01VP6418013J042B</t>
  </si>
  <si>
    <t>CN0N01VP6418013J04KB</t>
  </si>
  <si>
    <t>7JMSHQ1</t>
  </si>
  <si>
    <t>7JNTHQ1</t>
  </si>
  <si>
    <t>7JPTHQ1</t>
  </si>
  <si>
    <t>7JMRHQ1</t>
  </si>
  <si>
    <t>7JLTHQ1</t>
  </si>
  <si>
    <t>7JNRHQ1</t>
  </si>
  <si>
    <t>7JNSHQ1</t>
  </si>
  <si>
    <t>7JLSHQ1</t>
  </si>
  <si>
    <t>7JPRHQ1</t>
  </si>
  <si>
    <t>7JLRHQ1</t>
  </si>
  <si>
    <t>7JPSHQ1</t>
  </si>
  <si>
    <t>7JMTHQ1</t>
  </si>
  <si>
    <t>CN0TYXD97444514JA77S</t>
  </si>
  <si>
    <t>CN0TYXD97444514JA60S</t>
  </si>
  <si>
    <t>CN0TYXD97444514JA67S</t>
  </si>
  <si>
    <t>CN0TYXD97444514J647S</t>
  </si>
  <si>
    <t>CN0TYXD97444514JA72S</t>
  </si>
  <si>
    <t>CN0TYXD97444514J863S</t>
  </si>
  <si>
    <t>CN0TYXD97444514JABLS</t>
  </si>
  <si>
    <t>CN0TYXD97444514JA3JS</t>
  </si>
  <si>
    <t>CN0TYXD97444514JA5US</t>
  </si>
  <si>
    <t>CN0TYXD97444514JA5WS</t>
  </si>
  <si>
    <t>CN0TYXD97444514J976S</t>
  </si>
  <si>
    <t>CN0TYXD97444514J641S</t>
  </si>
  <si>
    <t>CN019G4H7426114D2J0S</t>
  </si>
  <si>
    <t>CN019G4H7426114D2J4S</t>
  </si>
  <si>
    <t>CN019G4H7426114D2J8S</t>
  </si>
  <si>
    <t>CN019G4H7426114D2J5S</t>
  </si>
  <si>
    <t>CN019G4H7426114D2JKS</t>
  </si>
  <si>
    <t>CN019G4H7426114D2HYS</t>
  </si>
  <si>
    <t>CN019G4H7426114D2HUS</t>
  </si>
  <si>
    <t>CN019G4H7426114D2HVS</t>
  </si>
  <si>
    <t>CN019G4H7426114D2HTS</t>
  </si>
  <si>
    <t>CN019G4H7426114D2HRS</t>
  </si>
  <si>
    <t>CN019G4H7426114D2JDS</t>
  </si>
  <si>
    <t>CN019G4H7426114D2JJS</t>
  </si>
  <si>
    <t>CN019G4H7426114D2J3S</t>
  </si>
  <si>
    <t>CN019G4H7426114D2J2S</t>
  </si>
  <si>
    <t>CN019G4H7426114D2HWS</t>
  </si>
  <si>
    <t>CN019G4H7426114D094S</t>
  </si>
  <si>
    <t>CN019G4H7426114D095S</t>
  </si>
  <si>
    <t>CN019G4H7426114D091S</t>
  </si>
  <si>
    <t>CN019G4H7426114D097S</t>
  </si>
  <si>
    <t>CN019G4H7426114D2J1S</t>
  </si>
  <si>
    <t>CN019G4H7426114D2K0S</t>
  </si>
  <si>
    <t>CN019G4H7426114D2JFS</t>
  </si>
  <si>
    <t>CN019G4H7426114D2JNS</t>
  </si>
  <si>
    <t>CN019G4H7426114D2JPS</t>
  </si>
  <si>
    <t>CN019G4H7426114D2JTS</t>
  </si>
  <si>
    <t>CN019G4H7426114D2EDS</t>
  </si>
  <si>
    <t>CN019G4H7426114D2JHS</t>
  </si>
  <si>
    <t>CN019G4H7426114D2JCS</t>
  </si>
  <si>
    <t>CN019G4H7426114D2J7S</t>
  </si>
  <si>
    <t>CN019G4H7426114D2J6S</t>
  </si>
  <si>
    <t>CN019G4H7426114D2JES</t>
  </si>
  <si>
    <t>CN019G4H7426114D2JGS</t>
  </si>
  <si>
    <t>CN019G4H7426114D2JAS</t>
  </si>
  <si>
    <t>CN019G4H7426114D2JMS</t>
  </si>
  <si>
    <t>CN019G4H7426114D2JLS</t>
  </si>
  <si>
    <t>CN019G4H7426114D2JUS</t>
  </si>
  <si>
    <t>CN019G4H7426114D2K1S</t>
  </si>
  <si>
    <t>CN019G4H7426114D2JYS</t>
  </si>
  <si>
    <t>CN019G4H7426114D2JWS</t>
  </si>
  <si>
    <t>CN019G4H7426114D2JVS</t>
  </si>
  <si>
    <t>8N7YHQ1</t>
  </si>
  <si>
    <t>8N4YHQ1</t>
  </si>
  <si>
    <t>8N9WHQ1</t>
  </si>
  <si>
    <t>8N4XHQ1</t>
  </si>
  <si>
    <t>8N6XHQ1</t>
  </si>
  <si>
    <t>8NFWHQ1</t>
  </si>
  <si>
    <t>8N5WHQ1</t>
  </si>
  <si>
    <t>8N9XHQ1</t>
  </si>
  <si>
    <t>8NBWHQ1</t>
  </si>
  <si>
    <t>8NCYHQ1</t>
  </si>
  <si>
    <t>8NJVHQ1</t>
  </si>
  <si>
    <t>8N7XHQ1</t>
  </si>
  <si>
    <t>8NGXHQ1</t>
  </si>
  <si>
    <t>8NFYHQ1</t>
  </si>
  <si>
    <t>8N5XHQ1</t>
  </si>
  <si>
    <t>8NGWHQ1</t>
  </si>
  <si>
    <t>8NBXHQ1</t>
  </si>
  <si>
    <t>8NHYHQ1</t>
  </si>
  <si>
    <t>8N5YHQ1</t>
  </si>
  <si>
    <t>8NFXHQ1</t>
  </si>
  <si>
    <t>8NJXHQ1</t>
  </si>
  <si>
    <t>8N4WHQ1</t>
  </si>
  <si>
    <t>8N8YHQ1</t>
  </si>
  <si>
    <t>8N8WHQ1</t>
  </si>
  <si>
    <t>8N3YHQ1</t>
  </si>
  <si>
    <t>8NHXHQ1</t>
  </si>
  <si>
    <t>8N6YHQ1</t>
  </si>
  <si>
    <t>8NGYHQ1</t>
  </si>
  <si>
    <t>8N7WHQ1</t>
  </si>
  <si>
    <t>8NCXHQ1</t>
  </si>
  <si>
    <t>8N6WHQ1</t>
  </si>
  <si>
    <t>8NJWHQ1</t>
  </si>
  <si>
    <t>8NHWHQ1</t>
  </si>
  <si>
    <t>8NDWHQ1</t>
  </si>
  <si>
    <t>8NCWHQ1</t>
  </si>
  <si>
    <t>8NDYHQ1</t>
  </si>
  <si>
    <t>8N9YHQ1</t>
  </si>
  <si>
    <t>8N8XHQ1</t>
  </si>
  <si>
    <t>8NDXHQ1</t>
  </si>
  <si>
    <t>8NBYHQ1</t>
  </si>
  <si>
    <t>MX0C592M7287512O8EAL</t>
  </si>
  <si>
    <t>MX0C592M7287512N7JJL</t>
  </si>
  <si>
    <t>MX0C592M7287512OA8JL</t>
  </si>
  <si>
    <t>MX0C592M7287515RFNJL</t>
  </si>
  <si>
    <t>MX0C592M7287512N7JPL</t>
  </si>
  <si>
    <t>MX0C592M7287515RFNWL</t>
  </si>
  <si>
    <t>MX0C592M7287515RFP2L</t>
  </si>
  <si>
    <t>MX0C592M7287512O8AAL</t>
  </si>
  <si>
    <t>MX0C592M7287512N6JYL</t>
  </si>
  <si>
    <t>4MWVHQ1</t>
  </si>
  <si>
    <t>4MYVHQ1</t>
  </si>
  <si>
    <t>4MWXHQ1</t>
  </si>
  <si>
    <t>4MYWHQ1</t>
  </si>
  <si>
    <t>4MWWHQ1</t>
  </si>
  <si>
    <t>4MVXHQ1</t>
  </si>
  <si>
    <t>4MXWHQ1</t>
  </si>
  <si>
    <t>4MXVHQ1</t>
  </si>
  <si>
    <t>4MXXHQ1</t>
  </si>
  <si>
    <t>CN0RNMH67444513V388S</t>
  </si>
  <si>
    <t>CN0RNMH67444513V497S</t>
  </si>
  <si>
    <t>CN0RNMH67444513V495S</t>
  </si>
  <si>
    <t>CN0RNMH67444513V286S</t>
  </si>
  <si>
    <t>CN0RNMH67444513V288S</t>
  </si>
  <si>
    <t>CN0RNMH67444513V496S</t>
  </si>
  <si>
    <t>CN0RNMH67444513V383S</t>
  </si>
  <si>
    <t>CN0RNMH67444513V385S</t>
  </si>
  <si>
    <t>CN0RNMH67444513V389S</t>
  </si>
  <si>
    <t>CN0RNMH67444513V384S</t>
  </si>
  <si>
    <t>6R9WHQ1</t>
  </si>
  <si>
    <t>6R7XHQ1</t>
  </si>
  <si>
    <t>6R7WHQ1</t>
  </si>
  <si>
    <t>6R8WHQ1</t>
  </si>
  <si>
    <t>6R6XHQ1</t>
  </si>
  <si>
    <t>6R6YHQ1</t>
  </si>
  <si>
    <t>6R8XHQ1</t>
  </si>
  <si>
    <t>6R9XHQ1</t>
  </si>
  <si>
    <t>6R7YHQ1</t>
  </si>
  <si>
    <t>6R8YHQ1</t>
  </si>
  <si>
    <t>CN0R126K4822013P0055</t>
  </si>
  <si>
    <t>CN0R126K4822013P0057</t>
  </si>
  <si>
    <t>CN0R126K4822013P0052</t>
  </si>
  <si>
    <t>CN0R126K4822013P005B</t>
  </si>
  <si>
    <t>CN0R126K4822013P0054</t>
  </si>
  <si>
    <t>CN0R126K4822013P0059</t>
  </si>
  <si>
    <t>CN0R126K4822013P005A</t>
  </si>
  <si>
    <t>CN0R126K4822013P0058</t>
  </si>
  <si>
    <t>CN0R126K4822013P002R</t>
  </si>
  <si>
    <t>CN0R126K4822013P0056</t>
  </si>
  <si>
    <t>CN0D176P641801380JAS</t>
  </si>
  <si>
    <t>CN0D176P64180138091S</t>
  </si>
  <si>
    <t>CN0D176P641801380K7S</t>
  </si>
  <si>
    <t>CN0D176P641801380EES</t>
  </si>
  <si>
    <t>CN0D176P641801380J5S</t>
  </si>
  <si>
    <t>3S9XHQ1</t>
  </si>
  <si>
    <t>3S9WHQ1</t>
  </si>
  <si>
    <t>3SBXHQ1</t>
  </si>
  <si>
    <t>3S8XHQ1</t>
  </si>
  <si>
    <t>3S7YHQ1</t>
  </si>
  <si>
    <t>3S7XHQ1</t>
  </si>
  <si>
    <t>3S8YHQ1</t>
  </si>
  <si>
    <t>3S9YHQ1</t>
  </si>
  <si>
    <t>3S8WHQ1</t>
  </si>
  <si>
    <t>3SBWHQ1</t>
  </si>
  <si>
    <t>CN0D176P641801380JES</t>
  </si>
  <si>
    <t>CN0D176P641801380J6S</t>
  </si>
  <si>
    <t>CN0D176P641801380ENS</t>
  </si>
  <si>
    <t>CN0D176P641801380K4S</t>
  </si>
  <si>
    <t>CN0D176P641801380KAS</t>
  </si>
  <si>
    <t>D4NVHQ1</t>
  </si>
  <si>
    <t>D4NYHQ1</t>
  </si>
  <si>
    <t>D4SWHQ1</t>
  </si>
  <si>
    <t>D4NXHQ1</t>
  </si>
  <si>
    <t>D4VWHQ1</t>
  </si>
  <si>
    <t>D4LYHQ1</t>
  </si>
  <si>
    <t>D4RXHQ1</t>
  </si>
  <si>
    <t>D4XXHQ1</t>
  </si>
  <si>
    <t>D4PYHQ1</t>
  </si>
  <si>
    <t>D4MYHQ1</t>
  </si>
  <si>
    <t>D4MXHQ1</t>
  </si>
  <si>
    <t>D4VVHQ1</t>
  </si>
  <si>
    <t>D4TVHQ1</t>
  </si>
  <si>
    <t>D4TXHQ1</t>
  </si>
  <si>
    <t>CJYXHQ1</t>
  </si>
  <si>
    <t>CK0XHQ1</t>
  </si>
  <si>
    <t>CK0WHQ1</t>
  </si>
  <si>
    <t>CK1WHQ1</t>
  </si>
  <si>
    <t>CK1XHQ1</t>
  </si>
  <si>
    <t>CJZWHQ1</t>
  </si>
  <si>
    <t>CJZXHQ1</t>
  </si>
  <si>
    <t>CJZVHQ1</t>
  </si>
  <si>
    <t>CK0YHQ1</t>
  </si>
  <si>
    <t>CN0DW711716230C61007</t>
  </si>
  <si>
    <t>CN0DW711716230C61006</t>
  </si>
  <si>
    <t>CN0DW711716230C61003</t>
  </si>
  <si>
    <t>CN0DW711716230C61005</t>
  </si>
  <si>
    <t>CN0DW711716230C61008</t>
  </si>
  <si>
    <t>CN0DW711716230C61004</t>
  </si>
  <si>
    <t>CN0DW711716230C60923</t>
  </si>
  <si>
    <t>CN0DW711716230C60922</t>
  </si>
  <si>
    <t>CN0DW711716230C60924</t>
  </si>
  <si>
    <t>CN0N01VP64180137087M</t>
  </si>
  <si>
    <t>CN0N01VP64180137088M</t>
  </si>
  <si>
    <t>CN0N01VP64180137083M</t>
  </si>
  <si>
    <t>CN0N01VP6418013708AM</t>
  </si>
  <si>
    <t>CN0N01VP64180137094M</t>
  </si>
  <si>
    <t>CN0N01VP64180137089M</t>
  </si>
  <si>
    <t>CN0N01VP64180137097M</t>
  </si>
  <si>
    <t>CN0N01VP64180137091M</t>
  </si>
  <si>
    <t>CN0N01VP64180137085M</t>
  </si>
  <si>
    <t>D4VXHQ1</t>
  </si>
  <si>
    <t>D4MVHQ1</t>
  </si>
  <si>
    <t>D4SXHQ1</t>
  </si>
  <si>
    <t>D4RYHQ1</t>
  </si>
  <si>
    <t>D4WXHQ1</t>
  </si>
  <si>
    <t>D4XVHQ1</t>
  </si>
  <si>
    <t>D4SYHQ1</t>
  </si>
  <si>
    <t>D4SVHQ1</t>
  </si>
  <si>
    <t>D4TWHQ1</t>
  </si>
  <si>
    <t>D4LXHQ1</t>
  </si>
  <si>
    <t>D4QVHQ1</t>
  </si>
  <si>
    <t>D4MWHQ1</t>
  </si>
  <si>
    <t>D4PWHQ1</t>
  </si>
  <si>
    <t>D4XWHQ1</t>
  </si>
  <si>
    <t>D4YVHQ1</t>
  </si>
  <si>
    <t>D4NWHQ1</t>
  </si>
  <si>
    <t>D4YWHQ1</t>
  </si>
  <si>
    <t>D4PVHQ1</t>
  </si>
  <si>
    <t>D4WWHQ1</t>
  </si>
  <si>
    <t>D4RVHQ1</t>
  </si>
  <si>
    <t>D4QYHQ1</t>
  </si>
  <si>
    <t>D4RWHQ1</t>
  </si>
  <si>
    <t>D4PXHQ1</t>
  </si>
  <si>
    <t>D4QXHQ1</t>
  </si>
  <si>
    <t>D4QWHQ1</t>
  </si>
  <si>
    <t>D4WVHQ1</t>
  </si>
  <si>
    <t>sello azul 449646</t>
  </si>
  <si>
    <t>FACTURA</t>
  </si>
  <si>
    <t>HOUSE BILL</t>
  </si>
  <si>
    <t>NUMERO DE ORDENES</t>
  </si>
  <si>
    <t>BULTOS</t>
  </si>
  <si>
    <t>PESO KGS</t>
  </si>
  <si>
    <t>FECHA DE APERTURA</t>
  </si>
  <si>
    <t>HORA DE APERTURA</t>
  </si>
  <si>
    <t>FECHA DE CIERRE</t>
  </si>
  <si>
    <t>HORA DE CIERRE</t>
  </si>
  <si>
    <t>CLAVE  6</t>
  </si>
  <si>
    <t>REF # 11-600594</t>
  </si>
  <si>
    <t xml:space="preserve"> </t>
  </si>
  <si>
    <t>14:00 PM</t>
  </si>
  <si>
    <t>19:58 PM</t>
  </si>
  <si>
    <t>Consecutivo # 3</t>
  </si>
  <si>
    <t># de Registo de Factura # 3</t>
  </si>
  <si>
    <t>20:05 PM</t>
  </si>
  <si>
    <t>Consecutivo # 4</t>
  </si>
  <si>
    <t># de Registo de Factura # 4</t>
  </si>
</sst>
</file>

<file path=xl/styles.xml><?xml version="1.0" encoding="utf-8"?>
<styleSheet xmlns="http://schemas.openxmlformats.org/spreadsheetml/2006/main">
  <numFmts count="1">
    <numFmt numFmtId="164" formatCode="[$-409]h:mm\ AM/PM;@"/>
  </numFmts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18" fontId="0" fillId="0" borderId="0" xfId="0" applyNumberFormat="1" applyAlignment="1">
      <alignment horizontal="center"/>
    </xf>
    <xf numFmtId="18" fontId="0" fillId="2" borderId="0" xfId="0" applyNumberFormat="1" applyFill="1" applyAlignment="1">
      <alignment horizontal="center"/>
    </xf>
    <xf numFmtId="0" fontId="0" fillId="0" borderId="0" xfId="0" applyFill="1"/>
    <xf numFmtId="18" fontId="0" fillId="2" borderId="0" xfId="0" applyNumberFormat="1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0" xfId="0" applyAlignme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496"/>
  <sheetViews>
    <sheetView tabSelected="1" topLeftCell="A2475" zoomScaleNormal="100" workbookViewId="0">
      <selection activeCell="A2492" sqref="A2492"/>
    </sheetView>
  </sheetViews>
  <sheetFormatPr defaultRowHeight="15"/>
  <cols>
    <col min="1" max="1" width="25" bestFit="1" customWidth="1"/>
    <col min="2" max="2" width="11.42578125" style="1" customWidth="1"/>
    <col min="3" max="3" width="15.7109375" style="1" customWidth="1"/>
  </cols>
  <sheetData>
    <row r="1" spans="1:3">
      <c r="A1" s="11">
        <v>20645</v>
      </c>
      <c r="B1" s="1">
        <v>84001457</v>
      </c>
      <c r="C1" s="1" t="s">
        <v>1</v>
      </c>
    </row>
    <row r="2" spans="1:3">
      <c r="A2">
        <v>705149222</v>
      </c>
      <c r="B2" s="2">
        <v>40698</v>
      </c>
      <c r="C2" s="1">
        <v>1246958</v>
      </c>
    </row>
    <row r="3" spans="1:3">
      <c r="A3" t="s">
        <v>3</v>
      </c>
      <c r="B3" s="1" t="s">
        <v>0</v>
      </c>
      <c r="C3" s="1" t="s">
        <v>2</v>
      </c>
    </row>
    <row r="4" spans="1:3">
      <c r="A4">
        <v>706602443</v>
      </c>
      <c r="C4" s="1">
        <v>3</v>
      </c>
    </row>
    <row r="5" spans="1:3">
      <c r="A5" t="s">
        <v>4</v>
      </c>
    </row>
    <row r="6" spans="1:3">
      <c r="A6">
        <v>707366691</v>
      </c>
    </row>
    <row r="7" spans="1:3">
      <c r="A7" t="s">
        <v>5</v>
      </c>
    </row>
    <row r="8" spans="1:3">
      <c r="A8">
        <v>706602443</v>
      </c>
    </row>
    <row r="9" spans="1:3">
      <c r="A9" t="s">
        <v>6</v>
      </c>
    </row>
    <row r="10" spans="1:3">
      <c r="A10">
        <v>705149222</v>
      </c>
    </row>
    <row r="11" spans="1:3">
      <c r="A11" t="s">
        <v>7</v>
      </c>
    </row>
    <row r="12" spans="1:3">
      <c r="A12">
        <v>707366691</v>
      </c>
    </row>
    <row r="13" spans="1:3">
      <c r="A13" t="s">
        <v>8</v>
      </c>
    </row>
    <row r="14" spans="1:3">
      <c r="A14">
        <v>705149222</v>
      </c>
    </row>
    <row r="15" spans="1:3">
      <c r="A15" t="s">
        <v>9</v>
      </c>
    </row>
    <row r="16" spans="1:3">
      <c r="A16">
        <v>707366691</v>
      </c>
    </row>
    <row r="17" spans="1:2">
      <c r="A17" s="3" t="s">
        <v>10</v>
      </c>
      <c r="B17" s="1">
        <f>16/2</f>
        <v>8</v>
      </c>
    </row>
    <row r="18" spans="1:2">
      <c r="A18">
        <v>706866758</v>
      </c>
    </row>
    <row r="19" spans="1:2">
      <c r="A19" t="s">
        <v>11</v>
      </c>
    </row>
    <row r="20" spans="1:2">
      <c r="A20">
        <v>706866758</v>
      </c>
    </row>
    <row r="21" spans="1:2">
      <c r="A21" t="s">
        <v>12</v>
      </c>
    </row>
    <row r="22" spans="1:2">
      <c r="A22">
        <v>706866758</v>
      </c>
    </row>
    <row r="23" spans="1:2">
      <c r="A23" s="3" t="s">
        <v>13</v>
      </c>
      <c r="B23" s="1">
        <f>22/2</f>
        <v>11</v>
      </c>
    </row>
    <row r="24" spans="1:2">
      <c r="A24">
        <v>703508197</v>
      </c>
    </row>
    <row r="25" spans="1:2">
      <c r="A25" t="s">
        <v>14</v>
      </c>
    </row>
    <row r="26" spans="1:2">
      <c r="A26">
        <v>707596172</v>
      </c>
    </row>
    <row r="27" spans="1:2">
      <c r="A27" t="s">
        <v>15</v>
      </c>
    </row>
    <row r="28" spans="1:2">
      <c r="A28">
        <v>707531179</v>
      </c>
    </row>
    <row r="29" spans="1:2">
      <c r="A29" t="s">
        <v>16</v>
      </c>
    </row>
    <row r="30" spans="1:2">
      <c r="A30">
        <v>707531047</v>
      </c>
    </row>
    <row r="31" spans="1:2">
      <c r="A31" t="s">
        <v>17</v>
      </c>
    </row>
    <row r="32" spans="1:2">
      <c r="A32">
        <v>703508197</v>
      </c>
    </row>
    <row r="33" spans="1:2">
      <c r="A33" t="s">
        <v>18</v>
      </c>
    </row>
    <row r="34" spans="1:2">
      <c r="A34">
        <v>707531179</v>
      </c>
    </row>
    <row r="35" spans="1:2">
      <c r="A35" t="s">
        <v>19</v>
      </c>
    </row>
    <row r="36" spans="1:2">
      <c r="A36">
        <v>707596172</v>
      </c>
    </row>
    <row r="37" spans="1:2">
      <c r="A37" t="s">
        <v>20</v>
      </c>
    </row>
    <row r="38" spans="1:2">
      <c r="A38">
        <v>707531047</v>
      </c>
    </row>
    <row r="39" spans="1:2">
      <c r="A39" t="s">
        <v>21</v>
      </c>
    </row>
    <row r="40" spans="1:2">
      <c r="A40">
        <v>703508197</v>
      </c>
    </row>
    <row r="41" spans="1:2">
      <c r="A41" t="s">
        <v>22</v>
      </c>
    </row>
    <row r="42" spans="1:2">
      <c r="A42">
        <v>707596172</v>
      </c>
    </row>
    <row r="43" spans="1:2">
      <c r="A43" s="3" t="s">
        <v>23</v>
      </c>
      <c r="B43" s="1">
        <f>42/2</f>
        <v>21</v>
      </c>
    </row>
    <row r="44" spans="1:2">
      <c r="A44">
        <v>706669731</v>
      </c>
    </row>
    <row r="45" spans="1:2">
      <c r="A45" t="s">
        <v>24</v>
      </c>
    </row>
    <row r="46" spans="1:2">
      <c r="A46">
        <v>706669731</v>
      </c>
    </row>
    <row r="47" spans="1:2">
      <c r="A47" t="s">
        <v>25</v>
      </c>
    </row>
    <row r="48" spans="1:2">
      <c r="A48">
        <v>706669731</v>
      </c>
    </row>
    <row r="49" spans="1:1">
      <c r="A49" t="s">
        <v>26</v>
      </c>
    </row>
    <row r="50" spans="1:1">
      <c r="A50">
        <v>706669731</v>
      </c>
    </row>
    <row r="51" spans="1:1">
      <c r="A51" t="s">
        <v>27</v>
      </c>
    </row>
    <row r="52" spans="1:1">
      <c r="A52">
        <v>706669731</v>
      </c>
    </row>
    <row r="53" spans="1:1">
      <c r="A53" t="s">
        <v>28</v>
      </c>
    </row>
    <row r="54" spans="1:1">
      <c r="A54">
        <v>706669731</v>
      </c>
    </row>
    <row r="55" spans="1:1">
      <c r="A55" t="s">
        <v>29</v>
      </c>
    </row>
    <row r="56" spans="1:1">
      <c r="A56">
        <v>706669731</v>
      </c>
    </row>
    <row r="57" spans="1:1">
      <c r="A57" t="s">
        <v>30</v>
      </c>
    </row>
    <row r="58" spans="1:1">
      <c r="A58">
        <v>706669731</v>
      </c>
    </row>
    <row r="59" spans="1:1">
      <c r="A59" t="s">
        <v>31</v>
      </c>
    </row>
    <row r="60" spans="1:1">
      <c r="A60">
        <v>706669731</v>
      </c>
    </row>
    <row r="61" spans="1:1">
      <c r="A61" t="s">
        <v>32</v>
      </c>
    </row>
    <row r="62" spans="1:1">
      <c r="A62">
        <v>706669731</v>
      </c>
    </row>
    <row r="63" spans="1:1">
      <c r="A63" t="s">
        <v>33</v>
      </c>
    </row>
    <row r="64" spans="1:1">
      <c r="A64">
        <v>706669731</v>
      </c>
    </row>
    <row r="65" spans="1:1">
      <c r="A65" t="s">
        <v>34</v>
      </c>
    </row>
    <row r="66" spans="1:1">
      <c r="A66">
        <v>706669731</v>
      </c>
    </row>
    <row r="67" spans="1:1">
      <c r="A67" t="s">
        <v>35</v>
      </c>
    </row>
    <row r="68" spans="1:1">
      <c r="A68">
        <v>706669731</v>
      </c>
    </row>
    <row r="69" spans="1:1">
      <c r="A69" t="s">
        <v>36</v>
      </c>
    </row>
    <row r="70" spans="1:1">
      <c r="A70">
        <v>706669731</v>
      </c>
    </row>
    <row r="71" spans="1:1">
      <c r="A71" t="s">
        <v>37</v>
      </c>
    </row>
    <row r="72" spans="1:1">
      <c r="A72">
        <v>706669731</v>
      </c>
    </row>
    <row r="73" spans="1:1">
      <c r="A73" t="s">
        <v>38</v>
      </c>
    </row>
    <row r="74" spans="1:1">
      <c r="A74">
        <v>706669731</v>
      </c>
    </row>
    <row r="75" spans="1:1">
      <c r="A75" t="s">
        <v>39</v>
      </c>
    </row>
    <row r="76" spans="1:1">
      <c r="A76">
        <v>706669731</v>
      </c>
    </row>
    <row r="77" spans="1:1">
      <c r="A77" t="s">
        <v>40</v>
      </c>
    </row>
    <row r="78" spans="1:1">
      <c r="A78">
        <v>706669731</v>
      </c>
    </row>
    <row r="79" spans="1:1">
      <c r="A79" t="s">
        <v>41</v>
      </c>
    </row>
    <row r="80" spans="1:1">
      <c r="A80">
        <v>706669731</v>
      </c>
    </row>
    <row r="81" spans="1:2">
      <c r="A81" t="s">
        <v>42</v>
      </c>
    </row>
    <row r="82" spans="1:2">
      <c r="A82">
        <v>706669731</v>
      </c>
    </row>
    <row r="83" spans="1:2">
      <c r="A83" t="s">
        <v>43</v>
      </c>
    </row>
    <row r="84" spans="1:2">
      <c r="A84">
        <v>706669731</v>
      </c>
    </row>
    <row r="85" spans="1:2">
      <c r="A85" t="s">
        <v>44</v>
      </c>
    </row>
    <row r="86" spans="1:2">
      <c r="A86">
        <v>706669731</v>
      </c>
    </row>
    <row r="87" spans="1:2">
      <c r="A87" t="s">
        <v>45</v>
      </c>
    </row>
    <row r="88" spans="1:2">
      <c r="A88">
        <v>706669731</v>
      </c>
    </row>
    <row r="89" spans="1:2">
      <c r="A89" t="s">
        <v>46</v>
      </c>
    </row>
    <row r="90" spans="1:2">
      <c r="A90">
        <v>706669731</v>
      </c>
    </row>
    <row r="91" spans="1:2">
      <c r="A91" s="3" t="s">
        <v>47</v>
      </c>
      <c r="B91" s="1">
        <f>90/2</f>
        <v>45</v>
      </c>
    </row>
    <row r="92" spans="1:2">
      <c r="A92">
        <v>706669731</v>
      </c>
    </row>
    <row r="93" spans="1:2">
      <c r="A93" t="s">
        <v>48</v>
      </c>
    </row>
    <row r="94" spans="1:2">
      <c r="A94">
        <v>706669731</v>
      </c>
    </row>
    <row r="95" spans="1:2">
      <c r="A95" t="s">
        <v>49</v>
      </c>
    </row>
    <row r="96" spans="1:2">
      <c r="A96">
        <v>706669731</v>
      </c>
    </row>
    <row r="97" spans="1:1">
      <c r="A97" t="s">
        <v>50</v>
      </c>
    </row>
    <row r="98" spans="1:1">
      <c r="A98">
        <v>706669731</v>
      </c>
    </row>
    <row r="99" spans="1:1">
      <c r="A99" t="s">
        <v>51</v>
      </c>
    </row>
    <row r="100" spans="1:1">
      <c r="A100">
        <v>706669731</v>
      </c>
    </row>
    <row r="101" spans="1:1">
      <c r="A101" t="s">
        <v>52</v>
      </c>
    </row>
    <row r="102" spans="1:1">
      <c r="A102">
        <v>706669731</v>
      </c>
    </row>
    <row r="103" spans="1:1">
      <c r="A103" t="s">
        <v>53</v>
      </c>
    </row>
    <row r="104" spans="1:1">
      <c r="A104">
        <v>706669731</v>
      </c>
    </row>
    <row r="105" spans="1:1">
      <c r="A105" t="s">
        <v>54</v>
      </c>
    </row>
    <row r="106" spans="1:1">
      <c r="A106">
        <v>706669731</v>
      </c>
    </row>
    <row r="107" spans="1:1">
      <c r="A107" t="s">
        <v>55</v>
      </c>
    </row>
    <row r="108" spans="1:1">
      <c r="A108">
        <v>706669731</v>
      </c>
    </row>
    <row r="109" spans="1:1">
      <c r="A109" t="s">
        <v>56</v>
      </c>
    </row>
    <row r="110" spans="1:1">
      <c r="A110">
        <v>706669731</v>
      </c>
    </row>
    <row r="111" spans="1:1">
      <c r="A111" t="s">
        <v>57</v>
      </c>
    </row>
    <row r="112" spans="1:1">
      <c r="A112">
        <v>706669731</v>
      </c>
    </row>
    <row r="113" spans="1:2">
      <c r="A113" t="s">
        <v>58</v>
      </c>
    </row>
    <row r="114" spans="1:2">
      <c r="A114">
        <v>706669731</v>
      </c>
    </row>
    <row r="115" spans="1:2">
      <c r="A115" t="s">
        <v>59</v>
      </c>
    </row>
    <row r="116" spans="1:2">
      <c r="A116">
        <v>706669731</v>
      </c>
    </row>
    <row r="117" spans="1:2">
      <c r="A117" s="3" t="s">
        <v>60</v>
      </c>
      <c r="B117" s="1">
        <f>116/2</f>
        <v>58</v>
      </c>
    </row>
    <row r="118" spans="1:2">
      <c r="A118">
        <v>706669731</v>
      </c>
    </row>
    <row r="119" spans="1:2">
      <c r="A119" t="s">
        <v>61</v>
      </c>
    </row>
    <row r="120" spans="1:2">
      <c r="A120">
        <v>706669731</v>
      </c>
    </row>
    <row r="121" spans="1:2">
      <c r="A121" t="s">
        <v>62</v>
      </c>
    </row>
    <row r="122" spans="1:2">
      <c r="A122">
        <v>706669731</v>
      </c>
    </row>
    <row r="123" spans="1:2">
      <c r="A123" t="s">
        <v>63</v>
      </c>
    </row>
    <row r="124" spans="1:2">
      <c r="A124">
        <v>706669731</v>
      </c>
    </row>
    <row r="125" spans="1:2">
      <c r="A125" t="s">
        <v>64</v>
      </c>
    </row>
    <row r="126" spans="1:2">
      <c r="A126">
        <v>706669731</v>
      </c>
    </row>
    <row r="127" spans="1:2">
      <c r="A127" t="s">
        <v>65</v>
      </c>
    </row>
    <row r="128" spans="1:2">
      <c r="A128">
        <v>706669731</v>
      </c>
    </row>
    <row r="129" spans="1:1">
      <c r="A129" t="s">
        <v>66</v>
      </c>
    </row>
    <row r="130" spans="1:1">
      <c r="A130">
        <v>706669731</v>
      </c>
    </row>
    <row r="131" spans="1:1">
      <c r="A131" t="s">
        <v>67</v>
      </c>
    </row>
    <row r="132" spans="1:1">
      <c r="A132">
        <v>706669731</v>
      </c>
    </row>
    <row r="133" spans="1:1">
      <c r="A133" t="s">
        <v>68</v>
      </c>
    </row>
    <row r="134" spans="1:1">
      <c r="A134">
        <v>706669731</v>
      </c>
    </row>
    <row r="135" spans="1:1">
      <c r="A135" t="s">
        <v>69</v>
      </c>
    </row>
    <row r="136" spans="1:1">
      <c r="A136">
        <v>706669731</v>
      </c>
    </row>
    <row r="137" spans="1:1">
      <c r="A137" t="s">
        <v>70</v>
      </c>
    </row>
    <row r="138" spans="1:1">
      <c r="A138">
        <v>706669731</v>
      </c>
    </row>
    <row r="139" spans="1:1">
      <c r="A139" t="s">
        <v>71</v>
      </c>
    </row>
    <row r="140" spans="1:1">
      <c r="A140">
        <v>706669731</v>
      </c>
    </row>
    <row r="141" spans="1:1">
      <c r="A141" t="s">
        <v>72</v>
      </c>
    </row>
    <row r="142" spans="1:1">
      <c r="A142">
        <v>706669731</v>
      </c>
    </row>
    <row r="143" spans="1:1">
      <c r="A143" t="s">
        <v>73</v>
      </c>
    </row>
    <row r="144" spans="1:1">
      <c r="A144">
        <v>706669731</v>
      </c>
    </row>
    <row r="145" spans="1:1">
      <c r="A145" t="s">
        <v>74</v>
      </c>
    </row>
    <row r="146" spans="1:1">
      <c r="A146">
        <v>706669731</v>
      </c>
    </row>
    <row r="147" spans="1:1">
      <c r="A147" t="s">
        <v>75</v>
      </c>
    </row>
    <row r="148" spans="1:1">
      <c r="A148">
        <v>706669731</v>
      </c>
    </row>
    <row r="149" spans="1:1">
      <c r="A149" t="s">
        <v>76</v>
      </c>
    </row>
    <row r="150" spans="1:1">
      <c r="A150">
        <v>706669731</v>
      </c>
    </row>
    <row r="151" spans="1:1">
      <c r="A151" t="s">
        <v>77</v>
      </c>
    </row>
    <row r="152" spans="1:1">
      <c r="A152">
        <v>706669731</v>
      </c>
    </row>
    <row r="153" spans="1:1">
      <c r="A153" t="s">
        <v>78</v>
      </c>
    </row>
    <row r="154" spans="1:1">
      <c r="A154">
        <v>706669731</v>
      </c>
    </row>
    <row r="155" spans="1:1">
      <c r="A155" t="s">
        <v>79</v>
      </c>
    </row>
    <row r="156" spans="1:1">
      <c r="A156">
        <v>706669731</v>
      </c>
    </row>
    <row r="157" spans="1:1">
      <c r="A157" t="s">
        <v>80</v>
      </c>
    </row>
    <row r="158" spans="1:1">
      <c r="A158">
        <v>706669731</v>
      </c>
    </row>
    <row r="159" spans="1:1">
      <c r="A159" t="s">
        <v>81</v>
      </c>
    </row>
    <row r="160" spans="1:1">
      <c r="A160">
        <v>706669731</v>
      </c>
    </row>
    <row r="161" spans="1:1">
      <c r="A161" t="s">
        <v>82</v>
      </c>
    </row>
    <row r="162" spans="1:1">
      <c r="A162">
        <v>706669731</v>
      </c>
    </row>
    <row r="163" spans="1:1">
      <c r="A163" t="s">
        <v>83</v>
      </c>
    </row>
    <row r="164" spans="1:1">
      <c r="A164">
        <v>706669731</v>
      </c>
    </row>
    <row r="165" spans="1:1">
      <c r="A165" t="s">
        <v>84</v>
      </c>
    </row>
    <row r="166" spans="1:1">
      <c r="A166">
        <v>706669731</v>
      </c>
    </row>
    <row r="167" spans="1:1">
      <c r="A167" t="s">
        <v>85</v>
      </c>
    </row>
    <row r="168" spans="1:1">
      <c r="A168">
        <v>706669731</v>
      </c>
    </row>
    <row r="169" spans="1:1">
      <c r="A169" t="s">
        <v>86</v>
      </c>
    </row>
    <row r="170" spans="1:1">
      <c r="A170">
        <v>706669731</v>
      </c>
    </row>
    <row r="171" spans="1:1">
      <c r="A171" t="s">
        <v>87</v>
      </c>
    </row>
    <row r="172" spans="1:1">
      <c r="A172">
        <v>706669731</v>
      </c>
    </row>
    <row r="173" spans="1:1">
      <c r="A173" t="s">
        <v>88</v>
      </c>
    </row>
    <row r="174" spans="1:1">
      <c r="A174">
        <v>706669731</v>
      </c>
    </row>
    <row r="175" spans="1:1">
      <c r="A175" t="s">
        <v>89</v>
      </c>
    </row>
    <row r="176" spans="1:1">
      <c r="A176">
        <v>706669731</v>
      </c>
    </row>
    <row r="177" spans="1:1">
      <c r="A177" t="s">
        <v>90</v>
      </c>
    </row>
    <row r="178" spans="1:1">
      <c r="A178">
        <v>706669731</v>
      </c>
    </row>
    <row r="179" spans="1:1">
      <c r="A179" t="s">
        <v>91</v>
      </c>
    </row>
    <row r="180" spans="1:1">
      <c r="A180">
        <v>706669731</v>
      </c>
    </row>
    <row r="181" spans="1:1">
      <c r="A181" t="s">
        <v>92</v>
      </c>
    </row>
    <row r="182" spans="1:1">
      <c r="A182">
        <v>706669731</v>
      </c>
    </row>
    <row r="183" spans="1:1">
      <c r="A183" t="s">
        <v>93</v>
      </c>
    </row>
    <row r="184" spans="1:1">
      <c r="A184">
        <v>706669731</v>
      </c>
    </row>
    <row r="185" spans="1:1">
      <c r="A185" t="s">
        <v>94</v>
      </c>
    </row>
    <row r="186" spans="1:1">
      <c r="A186">
        <v>706669731</v>
      </c>
    </row>
    <row r="187" spans="1:1">
      <c r="A187" t="s">
        <v>95</v>
      </c>
    </row>
    <row r="188" spans="1:1">
      <c r="A188">
        <v>706669731</v>
      </c>
    </row>
    <row r="189" spans="1:1">
      <c r="A189" t="s">
        <v>96</v>
      </c>
    </row>
    <row r="190" spans="1:1">
      <c r="A190">
        <v>706669731</v>
      </c>
    </row>
    <row r="191" spans="1:1">
      <c r="A191" t="s">
        <v>97</v>
      </c>
    </row>
    <row r="192" spans="1:1">
      <c r="A192">
        <v>706669731</v>
      </c>
    </row>
    <row r="193" spans="1:1">
      <c r="A193" t="s">
        <v>98</v>
      </c>
    </row>
    <row r="194" spans="1:1">
      <c r="A194">
        <v>706669731</v>
      </c>
    </row>
    <row r="195" spans="1:1">
      <c r="A195" t="s">
        <v>99</v>
      </c>
    </row>
    <row r="196" spans="1:1">
      <c r="A196">
        <v>706669731</v>
      </c>
    </row>
    <row r="197" spans="1:1">
      <c r="A197" t="s">
        <v>100</v>
      </c>
    </row>
    <row r="198" spans="1:1">
      <c r="A198">
        <v>706669731</v>
      </c>
    </row>
    <row r="199" spans="1:1">
      <c r="A199" t="s">
        <v>101</v>
      </c>
    </row>
    <row r="200" spans="1:1">
      <c r="A200">
        <v>706669731</v>
      </c>
    </row>
    <row r="201" spans="1:1">
      <c r="A201" t="s">
        <v>102</v>
      </c>
    </row>
    <row r="202" spans="1:1">
      <c r="A202">
        <v>706669731</v>
      </c>
    </row>
    <row r="203" spans="1:1">
      <c r="A203" t="s">
        <v>103</v>
      </c>
    </row>
    <row r="204" spans="1:1">
      <c r="A204">
        <v>706669731</v>
      </c>
    </row>
    <row r="205" spans="1:1">
      <c r="A205" t="s">
        <v>104</v>
      </c>
    </row>
    <row r="206" spans="1:1">
      <c r="A206">
        <v>706669731</v>
      </c>
    </row>
    <row r="207" spans="1:1">
      <c r="A207" t="s">
        <v>105</v>
      </c>
    </row>
    <row r="208" spans="1:1">
      <c r="A208">
        <v>706669731</v>
      </c>
    </row>
    <row r="209" spans="1:1">
      <c r="A209" t="s">
        <v>106</v>
      </c>
    </row>
    <row r="210" spans="1:1">
      <c r="A210">
        <v>706669731</v>
      </c>
    </row>
    <row r="211" spans="1:1">
      <c r="A211" t="s">
        <v>107</v>
      </c>
    </row>
    <row r="212" spans="1:1">
      <c r="A212">
        <v>706669731</v>
      </c>
    </row>
    <row r="213" spans="1:1">
      <c r="A213" t="s">
        <v>108</v>
      </c>
    </row>
    <row r="214" spans="1:1">
      <c r="A214">
        <v>706669731</v>
      </c>
    </row>
    <row r="215" spans="1:1">
      <c r="A215" t="s">
        <v>109</v>
      </c>
    </row>
    <row r="216" spans="1:1">
      <c r="A216">
        <v>706669731</v>
      </c>
    </row>
    <row r="217" spans="1:1">
      <c r="A217" t="s">
        <v>110</v>
      </c>
    </row>
    <row r="218" spans="1:1">
      <c r="A218">
        <v>706669731</v>
      </c>
    </row>
    <row r="219" spans="1:1">
      <c r="A219" t="s">
        <v>111</v>
      </c>
    </row>
    <row r="220" spans="1:1">
      <c r="A220">
        <v>706669731</v>
      </c>
    </row>
    <row r="221" spans="1:1">
      <c r="A221" t="s">
        <v>112</v>
      </c>
    </row>
    <row r="222" spans="1:1">
      <c r="A222">
        <v>706669731</v>
      </c>
    </row>
    <row r="223" spans="1:1">
      <c r="A223" t="s">
        <v>113</v>
      </c>
    </row>
    <row r="224" spans="1:1">
      <c r="A224">
        <v>706669731</v>
      </c>
    </row>
    <row r="225" spans="1:1">
      <c r="A225" t="s">
        <v>114</v>
      </c>
    </row>
    <row r="226" spans="1:1">
      <c r="A226">
        <v>706669731</v>
      </c>
    </row>
    <row r="227" spans="1:1">
      <c r="A227" t="s">
        <v>115</v>
      </c>
    </row>
    <row r="228" spans="1:1">
      <c r="A228">
        <v>706669731</v>
      </c>
    </row>
    <row r="229" spans="1:1">
      <c r="A229" t="s">
        <v>116</v>
      </c>
    </row>
    <row r="230" spans="1:1">
      <c r="A230">
        <v>706669731</v>
      </c>
    </row>
    <row r="231" spans="1:1">
      <c r="A231" t="s">
        <v>117</v>
      </c>
    </row>
    <row r="232" spans="1:1">
      <c r="A232">
        <v>706669731</v>
      </c>
    </row>
    <row r="233" spans="1:1">
      <c r="A233" t="s">
        <v>118</v>
      </c>
    </row>
    <row r="234" spans="1:1">
      <c r="A234">
        <v>706669731</v>
      </c>
    </row>
    <row r="235" spans="1:1">
      <c r="A235" t="s">
        <v>119</v>
      </c>
    </row>
    <row r="236" spans="1:1">
      <c r="A236">
        <v>706669731</v>
      </c>
    </row>
    <row r="237" spans="1:1">
      <c r="A237" t="s">
        <v>120</v>
      </c>
    </row>
    <row r="238" spans="1:1">
      <c r="A238">
        <v>706669731</v>
      </c>
    </row>
    <row r="239" spans="1:1">
      <c r="A239" t="s">
        <v>121</v>
      </c>
    </row>
    <row r="240" spans="1:1">
      <c r="A240">
        <v>706669731</v>
      </c>
    </row>
    <row r="241" spans="1:1">
      <c r="A241" t="s">
        <v>122</v>
      </c>
    </row>
    <row r="242" spans="1:1">
      <c r="A242">
        <v>706669731</v>
      </c>
    </row>
    <row r="243" spans="1:1">
      <c r="A243" t="s">
        <v>123</v>
      </c>
    </row>
    <row r="244" spans="1:1">
      <c r="A244">
        <v>706669731</v>
      </c>
    </row>
    <row r="245" spans="1:1">
      <c r="A245" t="s">
        <v>124</v>
      </c>
    </row>
    <row r="246" spans="1:1">
      <c r="A246">
        <v>706669731</v>
      </c>
    </row>
    <row r="247" spans="1:1">
      <c r="A247" t="s">
        <v>125</v>
      </c>
    </row>
    <row r="248" spans="1:1">
      <c r="A248">
        <v>706669731</v>
      </c>
    </row>
    <row r="249" spans="1:1">
      <c r="A249" t="s">
        <v>126</v>
      </c>
    </row>
    <row r="250" spans="1:1">
      <c r="A250">
        <v>706669731</v>
      </c>
    </row>
    <row r="251" spans="1:1">
      <c r="A251" t="s">
        <v>127</v>
      </c>
    </row>
    <row r="252" spans="1:1">
      <c r="A252">
        <v>706669731</v>
      </c>
    </row>
    <row r="253" spans="1:1">
      <c r="A253" t="s">
        <v>128</v>
      </c>
    </row>
    <row r="254" spans="1:1">
      <c r="A254">
        <v>706669731</v>
      </c>
    </row>
    <row r="255" spans="1:1">
      <c r="A255" t="s">
        <v>129</v>
      </c>
    </row>
    <row r="256" spans="1:1">
      <c r="A256">
        <v>706669731</v>
      </c>
    </row>
    <row r="257" spans="1:3">
      <c r="A257" t="s">
        <v>130</v>
      </c>
    </row>
    <row r="258" spans="1:3">
      <c r="A258">
        <v>706669731</v>
      </c>
    </row>
    <row r="259" spans="1:3">
      <c r="A259" t="s">
        <v>131</v>
      </c>
    </row>
    <row r="260" spans="1:3">
      <c r="A260">
        <v>706669731</v>
      </c>
    </row>
    <row r="261" spans="1:3">
      <c r="A261" t="s">
        <v>132</v>
      </c>
    </row>
    <row r="262" spans="1:3">
      <c r="A262">
        <v>706669731</v>
      </c>
    </row>
    <row r="263" spans="1:3">
      <c r="A263" t="s">
        <v>133</v>
      </c>
    </row>
    <row r="264" spans="1:3">
      <c r="A264">
        <v>706669731</v>
      </c>
    </row>
    <row r="265" spans="1:3">
      <c r="A265" s="3" t="s">
        <v>134</v>
      </c>
      <c r="B265" s="4">
        <f>264/2</f>
        <v>132</v>
      </c>
      <c r="C265" s="4" t="s">
        <v>135</v>
      </c>
    </row>
    <row r="266" spans="1:3">
      <c r="A266">
        <v>707867821</v>
      </c>
    </row>
    <row r="267" spans="1:3">
      <c r="A267" t="s">
        <v>136</v>
      </c>
    </row>
    <row r="268" spans="1:3">
      <c r="A268">
        <v>707867821</v>
      </c>
    </row>
    <row r="269" spans="1:3">
      <c r="A269" s="3" t="s">
        <v>137</v>
      </c>
      <c r="B269" s="1">
        <v>134</v>
      </c>
    </row>
    <row r="270" spans="1:3">
      <c r="A270">
        <v>706982332</v>
      </c>
    </row>
    <row r="271" spans="1:3">
      <c r="A271" t="s">
        <v>138</v>
      </c>
    </row>
    <row r="272" spans="1:3">
      <c r="A272">
        <v>706982332</v>
      </c>
    </row>
    <row r="273" spans="1:1">
      <c r="A273" t="s">
        <v>139</v>
      </c>
    </row>
    <row r="274" spans="1:1">
      <c r="A274">
        <v>706982332</v>
      </c>
    </row>
    <row r="275" spans="1:1">
      <c r="A275" t="s">
        <v>140</v>
      </c>
    </row>
    <row r="276" spans="1:1">
      <c r="A276">
        <v>706982332</v>
      </c>
    </row>
    <row r="277" spans="1:1">
      <c r="A277" t="s">
        <v>141</v>
      </c>
    </row>
    <row r="278" spans="1:1">
      <c r="A278">
        <v>706982332</v>
      </c>
    </row>
    <row r="279" spans="1:1">
      <c r="A279" t="s">
        <v>142</v>
      </c>
    </row>
    <row r="280" spans="1:1">
      <c r="A280">
        <v>706982332</v>
      </c>
    </row>
    <row r="281" spans="1:1">
      <c r="A281" t="s">
        <v>143</v>
      </c>
    </row>
    <row r="282" spans="1:1">
      <c r="A282">
        <v>706982332</v>
      </c>
    </row>
    <row r="283" spans="1:1">
      <c r="A283" t="s">
        <v>144</v>
      </c>
    </row>
    <row r="284" spans="1:1">
      <c r="A284">
        <v>706982332</v>
      </c>
    </row>
    <row r="285" spans="1:1">
      <c r="A285" t="s">
        <v>145</v>
      </c>
    </row>
    <row r="286" spans="1:1">
      <c r="A286">
        <v>706982332</v>
      </c>
    </row>
    <row r="287" spans="1:1">
      <c r="A287" t="s">
        <v>146</v>
      </c>
    </row>
    <row r="288" spans="1:1">
      <c r="A288">
        <v>706982332</v>
      </c>
    </row>
    <row r="289" spans="1:2">
      <c r="A289" t="s">
        <v>147</v>
      </c>
    </row>
    <row r="290" spans="1:2">
      <c r="A290">
        <v>706982332</v>
      </c>
    </row>
    <row r="291" spans="1:2">
      <c r="A291" t="s">
        <v>148</v>
      </c>
    </row>
    <row r="292" spans="1:2">
      <c r="A292">
        <v>706982332</v>
      </c>
    </row>
    <row r="293" spans="1:2">
      <c r="A293" t="s">
        <v>149</v>
      </c>
    </row>
    <row r="294" spans="1:2">
      <c r="A294">
        <v>706982332</v>
      </c>
    </row>
    <row r="295" spans="1:2">
      <c r="A295" s="3" t="s">
        <v>150</v>
      </c>
      <c r="B295" s="1">
        <f>294/2</f>
        <v>147</v>
      </c>
    </row>
    <row r="296" spans="1:2">
      <c r="A296">
        <v>706982332</v>
      </c>
    </row>
    <row r="297" spans="1:2">
      <c r="A297" t="s">
        <v>151</v>
      </c>
    </row>
    <row r="298" spans="1:2">
      <c r="A298">
        <v>706982332</v>
      </c>
    </row>
    <row r="299" spans="1:2">
      <c r="A299" t="s">
        <v>152</v>
      </c>
    </row>
    <row r="300" spans="1:2">
      <c r="A300">
        <v>706982332</v>
      </c>
    </row>
    <row r="301" spans="1:2">
      <c r="A301" t="s">
        <v>153</v>
      </c>
    </row>
    <row r="302" spans="1:2">
      <c r="A302">
        <v>706982332</v>
      </c>
    </row>
    <row r="303" spans="1:2">
      <c r="A303" t="s">
        <v>154</v>
      </c>
    </row>
    <row r="304" spans="1:2">
      <c r="A304">
        <v>706982332</v>
      </c>
    </row>
    <row r="305" spans="1:1">
      <c r="A305" t="s">
        <v>155</v>
      </c>
    </row>
    <row r="306" spans="1:1">
      <c r="A306">
        <v>706982332</v>
      </c>
    </row>
    <row r="307" spans="1:1">
      <c r="A307" t="s">
        <v>156</v>
      </c>
    </row>
    <row r="308" spans="1:1">
      <c r="A308">
        <v>706982332</v>
      </c>
    </row>
    <row r="309" spans="1:1">
      <c r="A309" t="s">
        <v>157</v>
      </c>
    </row>
    <row r="310" spans="1:1">
      <c r="A310">
        <v>706982332</v>
      </c>
    </row>
    <row r="311" spans="1:1">
      <c r="A311" t="s">
        <v>158</v>
      </c>
    </row>
    <row r="312" spans="1:1">
      <c r="A312">
        <v>706982332</v>
      </c>
    </row>
    <row r="313" spans="1:1">
      <c r="A313" t="s">
        <v>159</v>
      </c>
    </row>
    <row r="314" spans="1:1">
      <c r="A314">
        <v>706982332</v>
      </c>
    </row>
    <row r="315" spans="1:1">
      <c r="A315" t="s">
        <v>160</v>
      </c>
    </row>
    <row r="316" spans="1:1">
      <c r="A316">
        <v>706982332</v>
      </c>
    </row>
    <row r="317" spans="1:1">
      <c r="A317" t="s">
        <v>161</v>
      </c>
    </row>
    <row r="318" spans="1:1">
      <c r="A318">
        <v>706982332</v>
      </c>
    </row>
    <row r="319" spans="1:1">
      <c r="A319" t="s">
        <v>162</v>
      </c>
    </row>
    <row r="320" spans="1:1">
      <c r="A320">
        <v>706982332</v>
      </c>
    </row>
    <row r="321" spans="1:1">
      <c r="A321" t="s">
        <v>163</v>
      </c>
    </row>
    <row r="322" spans="1:1">
      <c r="A322">
        <v>706982332</v>
      </c>
    </row>
    <row r="323" spans="1:1">
      <c r="A323" t="s">
        <v>164</v>
      </c>
    </row>
    <row r="324" spans="1:1">
      <c r="A324">
        <v>706982332</v>
      </c>
    </row>
    <row r="325" spans="1:1">
      <c r="A325" t="s">
        <v>165</v>
      </c>
    </row>
    <row r="326" spans="1:1">
      <c r="A326">
        <v>706982332</v>
      </c>
    </row>
    <row r="327" spans="1:1">
      <c r="A327" t="s">
        <v>166</v>
      </c>
    </row>
    <row r="328" spans="1:1">
      <c r="A328">
        <v>706982332</v>
      </c>
    </row>
    <row r="329" spans="1:1">
      <c r="A329" t="s">
        <v>167</v>
      </c>
    </row>
    <row r="330" spans="1:1">
      <c r="A330">
        <v>706982332</v>
      </c>
    </row>
    <row r="331" spans="1:1">
      <c r="A331" t="s">
        <v>168</v>
      </c>
    </row>
    <row r="332" spans="1:1">
      <c r="A332">
        <v>706982332</v>
      </c>
    </row>
    <row r="333" spans="1:1">
      <c r="A333" t="s">
        <v>169</v>
      </c>
    </row>
    <row r="334" spans="1:1">
      <c r="A334">
        <v>706982332</v>
      </c>
    </row>
    <row r="335" spans="1:1">
      <c r="A335" t="s">
        <v>170</v>
      </c>
    </row>
    <row r="336" spans="1:1">
      <c r="A336">
        <v>706982332</v>
      </c>
    </row>
    <row r="337" spans="1:1">
      <c r="A337" t="s">
        <v>171</v>
      </c>
    </row>
    <row r="338" spans="1:1">
      <c r="A338">
        <v>706982332</v>
      </c>
    </row>
    <row r="339" spans="1:1">
      <c r="A339" t="s">
        <v>172</v>
      </c>
    </row>
    <row r="340" spans="1:1">
      <c r="A340">
        <v>706982332</v>
      </c>
    </row>
    <row r="341" spans="1:1">
      <c r="A341" t="s">
        <v>173</v>
      </c>
    </row>
    <row r="342" spans="1:1">
      <c r="A342">
        <v>706982332</v>
      </c>
    </row>
    <row r="343" spans="1:1">
      <c r="A343" t="s">
        <v>174</v>
      </c>
    </row>
    <row r="344" spans="1:1">
      <c r="A344">
        <v>706982332</v>
      </c>
    </row>
    <row r="345" spans="1:1">
      <c r="A345" t="s">
        <v>175</v>
      </c>
    </row>
    <row r="346" spans="1:1">
      <c r="A346">
        <v>706982332</v>
      </c>
    </row>
    <row r="347" spans="1:1">
      <c r="A347" t="s">
        <v>176</v>
      </c>
    </row>
    <row r="348" spans="1:1">
      <c r="A348">
        <v>706982332</v>
      </c>
    </row>
    <row r="349" spans="1:1">
      <c r="A349" t="s">
        <v>177</v>
      </c>
    </row>
    <row r="350" spans="1:1">
      <c r="A350">
        <v>706982332</v>
      </c>
    </row>
    <row r="351" spans="1:1">
      <c r="A351" t="s">
        <v>178</v>
      </c>
    </row>
    <row r="352" spans="1:1">
      <c r="A352">
        <v>706982332</v>
      </c>
    </row>
    <row r="353" spans="1:2">
      <c r="A353" t="s">
        <v>179</v>
      </c>
    </row>
    <row r="354" spans="1:2">
      <c r="A354">
        <v>706982332</v>
      </c>
    </row>
    <row r="355" spans="1:2">
      <c r="A355" t="s">
        <v>180</v>
      </c>
    </row>
    <row r="356" spans="1:2">
      <c r="A356">
        <v>706982332</v>
      </c>
    </row>
    <row r="357" spans="1:2">
      <c r="A357" t="s">
        <v>181</v>
      </c>
    </row>
    <row r="358" spans="1:2">
      <c r="A358">
        <v>706982332</v>
      </c>
    </row>
    <row r="359" spans="1:2">
      <c r="A359" t="s">
        <v>182</v>
      </c>
    </row>
    <row r="360" spans="1:2">
      <c r="A360">
        <v>706982332</v>
      </c>
    </row>
    <row r="361" spans="1:2">
      <c r="A361" s="3" t="s">
        <v>183</v>
      </c>
      <c r="B361" s="1">
        <f>360/2</f>
        <v>180</v>
      </c>
    </row>
    <row r="362" spans="1:2">
      <c r="A362">
        <v>706982332</v>
      </c>
    </row>
    <row r="363" spans="1:2">
      <c r="A363" t="s">
        <v>184</v>
      </c>
    </row>
    <row r="364" spans="1:2">
      <c r="A364">
        <v>706982332</v>
      </c>
    </row>
    <row r="365" spans="1:2">
      <c r="A365" t="s">
        <v>185</v>
      </c>
    </row>
    <row r="366" spans="1:2">
      <c r="A366">
        <v>706982332</v>
      </c>
    </row>
    <row r="367" spans="1:2">
      <c r="A367" t="s">
        <v>186</v>
      </c>
    </row>
    <row r="368" spans="1:2">
      <c r="A368">
        <v>706982332</v>
      </c>
    </row>
    <row r="369" spans="1:1">
      <c r="A369" t="s">
        <v>187</v>
      </c>
    </row>
    <row r="370" spans="1:1">
      <c r="A370">
        <v>706982332</v>
      </c>
    </row>
    <row r="371" spans="1:1">
      <c r="A371" t="s">
        <v>188</v>
      </c>
    </row>
    <row r="372" spans="1:1">
      <c r="A372">
        <v>706982332</v>
      </c>
    </row>
    <row r="373" spans="1:1">
      <c r="A373" t="s">
        <v>189</v>
      </c>
    </row>
    <row r="374" spans="1:1">
      <c r="A374">
        <v>706982332</v>
      </c>
    </row>
    <row r="375" spans="1:1">
      <c r="A375" t="s">
        <v>190</v>
      </c>
    </row>
    <row r="376" spans="1:1">
      <c r="A376">
        <v>706982332</v>
      </c>
    </row>
    <row r="377" spans="1:1">
      <c r="A377" t="s">
        <v>191</v>
      </c>
    </row>
    <row r="378" spans="1:1">
      <c r="A378">
        <v>706982332</v>
      </c>
    </row>
    <row r="379" spans="1:1">
      <c r="A379" t="s">
        <v>192</v>
      </c>
    </row>
    <row r="380" spans="1:1">
      <c r="A380">
        <v>706982332</v>
      </c>
    </row>
    <row r="381" spans="1:1">
      <c r="A381" t="s">
        <v>193</v>
      </c>
    </row>
    <row r="382" spans="1:1">
      <c r="A382">
        <v>706982332</v>
      </c>
    </row>
    <row r="383" spans="1:1">
      <c r="A383" t="s">
        <v>194</v>
      </c>
    </row>
    <row r="384" spans="1:1">
      <c r="A384">
        <v>706982332</v>
      </c>
    </row>
    <row r="385" spans="1:1">
      <c r="A385" t="s">
        <v>195</v>
      </c>
    </row>
    <row r="386" spans="1:1">
      <c r="A386">
        <v>706982332</v>
      </c>
    </row>
    <row r="387" spans="1:1">
      <c r="A387" t="s">
        <v>196</v>
      </c>
    </row>
    <row r="388" spans="1:1">
      <c r="A388">
        <v>706982332</v>
      </c>
    </row>
    <row r="389" spans="1:1">
      <c r="A389" t="s">
        <v>197</v>
      </c>
    </row>
    <row r="390" spans="1:1">
      <c r="A390">
        <v>706982332</v>
      </c>
    </row>
    <row r="391" spans="1:1">
      <c r="A391" t="s">
        <v>198</v>
      </c>
    </row>
    <row r="392" spans="1:1">
      <c r="A392">
        <v>706982332</v>
      </c>
    </row>
    <row r="393" spans="1:1">
      <c r="A393" t="s">
        <v>199</v>
      </c>
    </row>
    <row r="394" spans="1:1">
      <c r="A394">
        <v>706982332</v>
      </c>
    </row>
    <row r="395" spans="1:1">
      <c r="A395" t="s">
        <v>200</v>
      </c>
    </row>
    <row r="396" spans="1:1">
      <c r="A396">
        <v>706982332</v>
      </c>
    </row>
    <row r="397" spans="1:1">
      <c r="A397" t="s">
        <v>201</v>
      </c>
    </row>
    <row r="398" spans="1:1">
      <c r="A398">
        <v>706982332</v>
      </c>
    </row>
    <row r="399" spans="1:1">
      <c r="A399" t="s">
        <v>202</v>
      </c>
    </row>
    <row r="400" spans="1:1">
      <c r="A400">
        <v>706982332</v>
      </c>
    </row>
    <row r="401" spans="1:2">
      <c r="A401" s="3" t="s">
        <v>203</v>
      </c>
      <c r="B401" s="1">
        <f>400/2</f>
        <v>200</v>
      </c>
    </row>
    <row r="402" spans="1:2">
      <c r="A402">
        <v>705484322</v>
      </c>
    </row>
    <row r="403" spans="1:2">
      <c r="A403" t="s">
        <v>204</v>
      </c>
    </row>
    <row r="404" spans="1:2">
      <c r="A404">
        <v>705484322</v>
      </c>
    </row>
    <row r="405" spans="1:2">
      <c r="A405" t="s">
        <v>205</v>
      </c>
    </row>
    <row r="406" spans="1:2">
      <c r="A406">
        <v>706295818</v>
      </c>
    </row>
    <row r="407" spans="1:2">
      <c r="A407" t="s">
        <v>206</v>
      </c>
    </row>
    <row r="408" spans="1:2">
      <c r="A408">
        <v>707015223</v>
      </c>
    </row>
    <row r="409" spans="1:2">
      <c r="A409" t="s">
        <v>207</v>
      </c>
    </row>
    <row r="410" spans="1:2">
      <c r="A410">
        <v>705484322</v>
      </c>
    </row>
    <row r="411" spans="1:2">
      <c r="A411" t="s">
        <v>208</v>
      </c>
    </row>
    <row r="412" spans="1:2">
      <c r="A412">
        <v>705086200</v>
      </c>
    </row>
    <row r="413" spans="1:2">
      <c r="A413" s="3" t="s">
        <v>209</v>
      </c>
      <c r="B413" s="1">
        <f>412/2</f>
        <v>206</v>
      </c>
    </row>
    <row r="414" spans="1:2">
      <c r="A414">
        <v>706668600</v>
      </c>
    </row>
    <row r="415" spans="1:2">
      <c r="A415" t="s">
        <v>210</v>
      </c>
    </row>
    <row r="416" spans="1:2">
      <c r="A416">
        <v>706668600</v>
      </c>
    </row>
    <row r="417" spans="1:1">
      <c r="A417" t="s">
        <v>211</v>
      </c>
    </row>
    <row r="418" spans="1:1">
      <c r="A418">
        <v>706668600</v>
      </c>
    </row>
    <row r="419" spans="1:1">
      <c r="A419" t="s">
        <v>212</v>
      </c>
    </row>
    <row r="420" spans="1:1">
      <c r="A420">
        <v>706668600</v>
      </c>
    </row>
    <row r="421" spans="1:1">
      <c r="A421" t="s">
        <v>213</v>
      </c>
    </row>
    <row r="422" spans="1:1">
      <c r="A422">
        <v>706668600</v>
      </c>
    </row>
    <row r="423" spans="1:1">
      <c r="A423" t="s">
        <v>214</v>
      </c>
    </row>
    <row r="424" spans="1:1">
      <c r="A424">
        <v>706668600</v>
      </c>
    </row>
    <row r="425" spans="1:1">
      <c r="A425" t="s">
        <v>215</v>
      </c>
    </row>
    <row r="426" spans="1:1">
      <c r="A426">
        <v>706668600</v>
      </c>
    </row>
    <row r="427" spans="1:1">
      <c r="A427" t="s">
        <v>216</v>
      </c>
    </row>
    <row r="428" spans="1:1">
      <c r="A428">
        <v>706668600</v>
      </c>
    </row>
    <row r="429" spans="1:1">
      <c r="A429" t="s">
        <v>217</v>
      </c>
    </row>
    <row r="430" spans="1:1">
      <c r="A430">
        <v>706668600</v>
      </c>
    </row>
    <row r="431" spans="1:1">
      <c r="A431" t="s">
        <v>218</v>
      </c>
    </row>
    <row r="432" spans="1:1">
      <c r="A432">
        <v>706668600</v>
      </c>
    </row>
    <row r="433" spans="1:1">
      <c r="A433" t="s">
        <v>219</v>
      </c>
    </row>
    <row r="434" spans="1:1">
      <c r="A434">
        <v>706668600</v>
      </c>
    </row>
    <row r="435" spans="1:1">
      <c r="A435" t="s">
        <v>220</v>
      </c>
    </row>
    <row r="436" spans="1:1">
      <c r="A436">
        <v>706668600</v>
      </c>
    </row>
    <row r="437" spans="1:1">
      <c r="A437" t="s">
        <v>221</v>
      </c>
    </row>
    <row r="438" spans="1:1">
      <c r="A438">
        <v>706668600</v>
      </c>
    </row>
    <row r="439" spans="1:1">
      <c r="A439" t="s">
        <v>222</v>
      </c>
    </row>
    <row r="440" spans="1:1">
      <c r="A440">
        <v>706668600</v>
      </c>
    </row>
    <row r="441" spans="1:1">
      <c r="A441" t="s">
        <v>223</v>
      </c>
    </row>
    <row r="442" spans="1:1">
      <c r="A442">
        <v>706668600</v>
      </c>
    </row>
    <row r="443" spans="1:1">
      <c r="A443" t="s">
        <v>224</v>
      </c>
    </row>
    <row r="444" spans="1:1">
      <c r="A444">
        <v>706668600</v>
      </c>
    </row>
    <row r="445" spans="1:1">
      <c r="A445" t="s">
        <v>225</v>
      </c>
    </row>
    <row r="446" spans="1:1">
      <c r="A446">
        <v>706668600</v>
      </c>
    </row>
    <row r="447" spans="1:1">
      <c r="A447" t="s">
        <v>226</v>
      </c>
    </row>
    <row r="448" spans="1:1">
      <c r="A448">
        <v>706668600</v>
      </c>
    </row>
    <row r="449" spans="1:1">
      <c r="A449" t="s">
        <v>227</v>
      </c>
    </row>
    <row r="450" spans="1:1">
      <c r="A450">
        <v>706668600</v>
      </c>
    </row>
    <row r="451" spans="1:1">
      <c r="A451" t="s">
        <v>228</v>
      </c>
    </row>
    <row r="452" spans="1:1">
      <c r="A452">
        <v>706668600</v>
      </c>
    </row>
    <row r="453" spans="1:1">
      <c r="A453" t="s">
        <v>229</v>
      </c>
    </row>
    <row r="454" spans="1:1">
      <c r="A454">
        <v>706668600</v>
      </c>
    </row>
    <row r="455" spans="1:1">
      <c r="A455" t="s">
        <v>230</v>
      </c>
    </row>
    <row r="456" spans="1:1">
      <c r="A456">
        <v>706668600</v>
      </c>
    </row>
    <row r="457" spans="1:1">
      <c r="A457" t="s">
        <v>231</v>
      </c>
    </row>
    <row r="458" spans="1:1">
      <c r="A458">
        <v>706668600</v>
      </c>
    </row>
    <row r="459" spans="1:1">
      <c r="A459" t="s">
        <v>232</v>
      </c>
    </row>
    <row r="460" spans="1:1">
      <c r="A460">
        <v>706668600</v>
      </c>
    </row>
    <row r="461" spans="1:1">
      <c r="A461" t="s">
        <v>233</v>
      </c>
    </row>
    <row r="462" spans="1:1">
      <c r="A462">
        <v>706668600</v>
      </c>
    </row>
    <row r="463" spans="1:1">
      <c r="A463" t="s">
        <v>234</v>
      </c>
    </row>
    <row r="464" spans="1:1">
      <c r="A464">
        <v>706668600</v>
      </c>
    </row>
    <row r="465" spans="1:1">
      <c r="A465" t="s">
        <v>235</v>
      </c>
    </row>
    <row r="466" spans="1:1">
      <c r="A466">
        <v>706668600</v>
      </c>
    </row>
    <row r="467" spans="1:1">
      <c r="A467" t="s">
        <v>236</v>
      </c>
    </row>
    <row r="468" spans="1:1">
      <c r="A468">
        <v>706668600</v>
      </c>
    </row>
    <row r="469" spans="1:1">
      <c r="A469" t="s">
        <v>237</v>
      </c>
    </row>
    <row r="470" spans="1:1">
      <c r="A470">
        <v>706668600</v>
      </c>
    </row>
    <row r="471" spans="1:1">
      <c r="A471" t="s">
        <v>238</v>
      </c>
    </row>
    <row r="472" spans="1:1">
      <c r="A472">
        <v>706668600</v>
      </c>
    </row>
    <row r="473" spans="1:1">
      <c r="A473" t="s">
        <v>239</v>
      </c>
    </row>
    <row r="474" spans="1:1">
      <c r="A474">
        <v>706668600</v>
      </c>
    </row>
    <row r="475" spans="1:1">
      <c r="A475" t="s">
        <v>240</v>
      </c>
    </row>
    <row r="476" spans="1:1">
      <c r="A476">
        <v>706668600</v>
      </c>
    </row>
    <row r="477" spans="1:1">
      <c r="A477" t="s">
        <v>241</v>
      </c>
    </row>
    <row r="478" spans="1:1">
      <c r="A478">
        <v>706668600</v>
      </c>
    </row>
    <row r="479" spans="1:1">
      <c r="A479" t="s">
        <v>242</v>
      </c>
    </row>
    <row r="480" spans="1:1">
      <c r="A480">
        <v>706668600</v>
      </c>
    </row>
    <row r="481" spans="1:1">
      <c r="A481" t="s">
        <v>243</v>
      </c>
    </row>
    <row r="482" spans="1:1">
      <c r="A482">
        <v>706668600</v>
      </c>
    </row>
    <row r="483" spans="1:1">
      <c r="A483" t="s">
        <v>244</v>
      </c>
    </row>
    <row r="484" spans="1:1">
      <c r="A484">
        <v>706668600</v>
      </c>
    </row>
    <row r="485" spans="1:1">
      <c r="A485" t="s">
        <v>245</v>
      </c>
    </row>
    <row r="486" spans="1:1">
      <c r="A486">
        <v>706668600</v>
      </c>
    </row>
    <row r="487" spans="1:1">
      <c r="A487" t="s">
        <v>246</v>
      </c>
    </row>
    <row r="488" spans="1:1">
      <c r="A488">
        <v>706668600</v>
      </c>
    </row>
    <row r="489" spans="1:1">
      <c r="A489" t="s">
        <v>247</v>
      </c>
    </row>
    <row r="490" spans="1:1">
      <c r="A490">
        <v>706668600</v>
      </c>
    </row>
    <row r="491" spans="1:1">
      <c r="A491" t="s">
        <v>248</v>
      </c>
    </row>
    <row r="492" spans="1:1">
      <c r="A492">
        <v>706668600</v>
      </c>
    </row>
    <row r="493" spans="1:1">
      <c r="A493" t="s">
        <v>249</v>
      </c>
    </row>
    <row r="494" spans="1:1">
      <c r="A494">
        <v>706668600</v>
      </c>
    </row>
    <row r="495" spans="1:1">
      <c r="A495" t="s">
        <v>250</v>
      </c>
    </row>
    <row r="496" spans="1:1">
      <c r="A496">
        <v>706668600</v>
      </c>
    </row>
    <row r="497" spans="1:1">
      <c r="A497" t="s">
        <v>251</v>
      </c>
    </row>
    <row r="498" spans="1:1">
      <c r="A498">
        <v>706668600</v>
      </c>
    </row>
    <row r="499" spans="1:1">
      <c r="A499" t="s">
        <v>252</v>
      </c>
    </row>
    <row r="500" spans="1:1">
      <c r="A500">
        <v>706668600</v>
      </c>
    </row>
    <row r="501" spans="1:1">
      <c r="A501" t="s">
        <v>253</v>
      </c>
    </row>
    <row r="502" spans="1:1">
      <c r="A502">
        <v>706668600</v>
      </c>
    </row>
    <row r="503" spans="1:1">
      <c r="A503" t="s">
        <v>254</v>
      </c>
    </row>
    <row r="504" spans="1:1">
      <c r="A504">
        <v>706668600</v>
      </c>
    </row>
    <row r="505" spans="1:1">
      <c r="A505" t="s">
        <v>255</v>
      </c>
    </row>
    <row r="506" spans="1:1">
      <c r="A506">
        <v>706668600</v>
      </c>
    </row>
    <row r="507" spans="1:1">
      <c r="A507" t="s">
        <v>256</v>
      </c>
    </row>
    <row r="508" spans="1:1">
      <c r="A508">
        <v>706668600</v>
      </c>
    </row>
    <row r="509" spans="1:1">
      <c r="A509" t="s">
        <v>257</v>
      </c>
    </row>
    <row r="510" spans="1:1">
      <c r="A510">
        <v>706668600</v>
      </c>
    </row>
    <row r="511" spans="1:1">
      <c r="A511" t="s">
        <v>258</v>
      </c>
    </row>
    <row r="512" spans="1:1">
      <c r="A512">
        <v>706668600</v>
      </c>
    </row>
    <row r="513" spans="1:1">
      <c r="A513" t="s">
        <v>259</v>
      </c>
    </row>
    <row r="514" spans="1:1">
      <c r="A514">
        <v>706668600</v>
      </c>
    </row>
    <row r="515" spans="1:1">
      <c r="A515" t="s">
        <v>260</v>
      </c>
    </row>
    <row r="516" spans="1:1">
      <c r="A516">
        <v>706668600</v>
      </c>
    </row>
    <row r="517" spans="1:1">
      <c r="A517" t="s">
        <v>261</v>
      </c>
    </row>
    <row r="518" spans="1:1">
      <c r="A518">
        <v>706668600</v>
      </c>
    </row>
    <row r="519" spans="1:1">
      <c r="A519" t="s">
        <v>262</v>
      </c>
    </row>
    <row r="520" spans="1:1">
      <c r="A520">
        <v>706668600</v>
      </c>
    </row>
    <row r="521" spans="1:1">
      <c r="A521" t="s">
        <v>263</v>
      </c>
    </row>
    <row r="522" spans="1:1">
      <c r="A522">
        <v>706668600</v>
      </c>
    </row>
    <row r="523" spans="1:1">
      <c r="A523" t="s">
        <v>264</v>
      </c>
    </row>
    <row r="524" spans="1:1">
      <c r="A524">
        <v>706668600</v>
      </c>
    </row>
    <row r="525" spans="1:1">
      <c r="A525" t="s">
        <v>265</v>
      </c>
    </row>
    <row r="526" spans="1:1">
      <c r="A526">
        <v>706668600</v>
      </c>
    </row>
    <row r="527" spans="1:1">
      <c r="A527" t="s">
        <v>266</v>
      </c>
    </row>
    <row r="528" spans="1:1">
      <c r="A528">
        <v>706668600</v>
      </c>
    </row>
    <row r="529" spans="1:1">
      <c r="A529" t="s">
        <v>267</v>
      </c>
    </row>
    <row r="530" spans="1:1">
      <c r="A530">
        <v>706668600</v>
      </c>
    </row>
    <row r="531" spans="1:1">
      <c r="A531" t="s">
        <v>268</v>
      </c>
    </row>
    <row r="532" spans="1:1">
      <c r="A532">
        <v>706668600</v>
      </c>
    </row>
    <row r="533" spans="1:1">
      <c r="A533" t="s">
        <v>269</v>
      </c>
    </row>
    <row r="534" spans="1:1">
      <c r="A534">
        <v>706668600</v>
      </c>
    </row>
    <row r="535" spans="1:1">
      <c r="A535" t="s">
        <v>270</v>
      </c>
    </row>
    <row r="536" spans="1:1">
      <c r="A536">
        <v>706668600</v>
      </c>
    </row>
    <row r="537" spans="1:1">
      <c r="A537" t="s">
        <v>271</v>
      </c>
    </row>
    <row r="538" spans="1:1">
      <c r="A538">
        <v>706668600</v>
      </c>
    </row>
    <row r="539" spans="1:1">
      <c r="A539" t="s">
        <v>272</v>
      </c>
    </row>
    <row r="540" spans="1:1">
      <c r="A540">
        <v>706668600</v>
      </c>
    </row>
    <row r="541" spans="1:1">
      <c r="A541" t="s">
        <v>273</v>
      </c>
    </row>
    <row r="542" spans="1:1">
      <c r="A542">
        <v>706668600</v>
      </c>
    </row>
    <row r="543" spans="1:1">
      <c r="A543" t="s">
        <v>274</v>
      </c>
    </row>
    <row r="544" spans="1:1">
      <c r="A544">
        <v>706668600</v>
      </c>
    </row>
    <row r="545" spans="1:1">
      <c r="A545" t="s">
        <v>275</v>
      </c>
    </row>
    <row r="546" spans="1:1">
      <c r="A546">
        <v>706668600</v>
      </c>
    </row>
    <row r="547" spans="1:1">
      <c r="A547" t="s">
        <v>276</v>
      </c>
    </row>
    <row r="548" spans="1:1">
      <c r="A548">
        <v>706668600</v>
      </c>
    </row>
    <row r="549" spans="1:1">
      <c r="A549" t="s">
        <v>277</v>
      </c>
    </row>
    <row r="550" spans="1:1">
      <c r="A550">
        <v>706668600</v>
      </c>
    </row>
    <row r="551" spans="1:1">
      <c r="A551" t="s">
        <v>278</v>
      </c>
    </row>
    <row r="552" spans="1:1">
      <c r="A552">
        <v>706668600</v>
      </c>
    </row>
    <row r="553" spans="1:1">
      <c r="A553" t="s">
        <v>279</v>
      </c>
    </row>
    <row r="554" spans="1:1">
      <c r="A554">
        <v>706668600</v>
      </c>
    </row>
    <row r="555" spans="1:1">
      <c r="A555" t="s">
        <v>280</v>
      </c>
    </row>
    <row r="556" spans="1:1">
      <c r="A556">
        <v>706668600</v>
      </c>
    </row>
    <row r="557" spans="1:1">
      <c r="A557" t="s">
        <v>281</v>
      </c>
    </row>
    <row r="558" spans="1:1">
      <c r="A558">
        <v>706668600</v>
      </c>
    </row>
    <row r="559" spans="1:1">
      <c r="A559" t="s">
        <v>282</v>
      </c>
    </row>
    <row r="560" spans="1:1">
      <c r="A560">
        <v>706668600</v>
      </c>
    </row>
    <row r="561" spans="1:2">
      <c r="A561" s="3" t="s">
        <v>283</v>
      </c>
      <c r="B561" s="1">
        <f>560/2</f>
        <v>280</v>
      </c>
    </row>
    <row r="562" spans="1:2">
      <c r="A562">
        <v>706668600</v>
      </c>
    </row>
    <row r="563" spans="1:2">
      <c r="A563" t="s">
        <v>284</v>
      </c>
    </row>
    <row r="564" spans="1:2">
      <c r="A564">
        <v>706668600</v>
      </c>
    </row>
    <row r="565" spans="1:2">
      <c r="A565" t="s">
        <v>285</v>
      </c>
    </row>
    <row r="566" spans="1:2">
      <c r="A566">
        <v>706668600</v>
      </c>
    </row>
    <row r="567" spans="1:2">
      <c r="A567" t="s">
        <v>286</v>
      </c>
    </row>
    <row r="568" spans="1:2">
      <c r="A568">
        <v>706668600</v>
      </c>
    </row>
    <row r="569" spans="1:2">
      <c r="A569" t="s">
        <v>287</v>
      </c>
    </row>
    <row r="570" spans="1:2">
      <c r="A570">
        <v>706668600</v>
      </c>
    </row>
    <row r="571" spans="1:2">
      <c r="A571" t="s">
        <v>288</v>
      </c>
    </row>
    <row r="572" spans="1:2">
      <c r="A572">
        <v>706668600</v>
      </c>
    </row>
    <row r="573" spans="1:2">
      <c r="A573" t="s">
        <v>289</v>
      </c>
    </row>
    <row r="574" spans="1:2">
      <c r="A574">
        <v>706668600</v>
      </c>
    </row>
    <row r="575" spans="1:2">
      <c r="A575" t="s">
        <v>290</v>
      </c>
    </row>
    <row r="576" spans="1:2">
      <c r="A576">
        <v>706668600</v>
      </c>
    </row>
    <row r="577" spans="1:1">
      <c r="A577" t="s">
        <v>291</v>
      </c>
    </row>
    <row r="578" spans="1:1">
      <c r="A578">
        <v>706668600</v>
      </c>
    </row>
    <row r="579" spans="1:1">
      <c r="A579" t="s">
        <v>292</v>
      </c>
    </row>
    <row r="580" spans="1:1">
      <c r="A580">
        <v>706668600</v>
      </c>
    </row>
    <row r="581" spans="1:1">
      <c r="A581" t="s">
        <v>293</v>
      </c>
    </row>
    <row r="582" spans="1:1">
      <c r="A582">
        <v>706668600</v>
      </c>
    </row>
    <row r="583" spans="1:1">
      <c r="A583" t="s">
        <v>294</v>
      </c>
    </row>
    <row r="584" spans="1:1">
      <c r="A584">
        <v>706668600</v>
      </c>
    </row>
    <row r="585" spans="1:1">
      <c r="A585" t="s">
        <v>295</v>
      </c>
    </row>
    <row r="586" spans="1:1">
      <c r="A586">
        <v>706668600</v>
      </c>
    </row>
    <row r="587" spans="1:1">
      <c r="A587" t="s">
        <v>296</v>
      </c>
    </row>
    <row r="588" spans="1:1">
      <c r="A588">
        <v>706668600</v>
      </c>
    </row>
    <row r="589" spans="1:1">
      <c r="A589" t="s">
        <v>297</v>
      </c>
    </row>
    <row r="590" spans="1:1">
      <c r="A590">
        <v>706668600</v>
      </c>
    </row>
    <row r="591" spans="1:1">
      <c r="A591" t="s">
        <v>298</v>
      </c>
    </row>
    <row r="592" spans="1:1">
      <c r="A592">
        <v>706668600</v>
      </c>
    </row>
    <row r="593" spans="1:2">
      <c r="A593" t="s">
        <v>299</v>
      </c>
    </row>
    <row r="594" spans="1:2">
      <c r="A594">
        <v>706668600</v>
      </c>
    </row>
    <row r="595" spans="1:2">
      <c r="A595" t="s">
        <v>300</v>
      </c>
    </row>
    <row r="596" spans="1:2">
      <c r="A596">
        <v>706668600</v>
      </c>
    </row>
    <row r="597" spans="1:2">
      <c r="A597" t="s">
        <v>301</v>
      </c>
    </row>
    <row r="598" spans="1:2">
      <c r="A598">
        <v>706668600</v>
      </c>
    </row>
    <row r="599" spans="1:2">
      <c r="A599" t="s">
        <v>302</v>
      </c>
    </row>
    <row r="600" spans="1:2">
      <c r="A600">
        <v>706668600</v>
      </c>
    </row>
    <row r="601" spans="1:2">
      <c r="A601" s="3" t="s">
        <v>303</v>
      </c>
      <c r="B601" s="1">
        <f>600/2</f>
        <v>300</v>
      </c>
    </row>
    <row r="602" spans="1:2">
      <c r="A602">
        <v>706668691</v>
      </c>
    </row>
    <row r="603" spans="1:2">
      <c r="A603" t="s">
        <v>304</v>
      </c>
    </row>
    <row r="604" spans="1:2">
      <c r="A604">
        <v>706668691</v>
      </c>
    </row>
    <row r="605" spans="1:2">
      <c r="A605" t="s">
        <v>305</v>
      </c>
    </row>
    <row r="606" spans="1:2">
      <c r="A606">
        <v>706668691</v>
      </c>
    </row>
    <row r="607" spans="1:2">
      <c r="A607" t="s">
        <v>306</v>
      </c>
    </row>
    <row r="608" spans="1:2">
      <c r="A608">
        <v>706668691</v>
      </c>
    </row>
    <row r="609" spans="1:1">
      <c r="A609" t="s">
        <v>307</v>
      </c>
    </row>
    <row r="610" spans="1:1">
      <c r="A610">
        <v>706668691</v>
      </c>
    </row>
    <row r="611" spans="1:1">
      <c r="A611" t="s">
        <v>308</v>
      </c>
    </row>
    <row r="612" spans="1:1">
      <c r="A612">
        <v>706668691</v>
      </c>
    </row>
    <row r="613" spans="1:1">
      <c r="A613" t="s">
        <v>309</v>
      </c>
    </row>
    <row r="614" spans="1:1">
      <c r="A614">
        <v>706668691</v>
      </c>
    </row>
    <row r="615" spans="1:1">
      <c r="A615" t="s">
        <v>310</v>
      </c>
    </row>
    <row r="616" spans="1:1">
      <c r="A616">
        <v>706668691</v>
      </c>
    </row>
    <row r="617" spans="1:1">
      <c r="A617" t="s">
        <v>311</v>
      </c>
    </row>
    <row r="618" spans="1:1">
      <c r="A618">
        <v>706668691</v>
      </c>
    </row>
    <row r="619" spans="1:1">
      <c r="A619" t="s">
        <v>312</v>
      </c>
    </row>
    <row r="620" spans="1:1">
      <c r="A620">
        <v>706668691</v>
      </c>
    </row>
    <row r="621" spans="1:1">
      <c r="A621" t="s">
        <v>313</v>
      </c>
    </row>
    <row r="622" spans="1:1">
      <c r="A622">
        <v>706668691</v>
      </c>
    </row>
    <row r="623" spans="1:1">
      <c r="A623" t="s">
        <v>314</v>
      </c>
    </row>
    <row r="624" spans="1:1">
      <c r="A624">
        <v>706668691</v>
      </c>
    </row>
    <row r="625" spans="1:1">
      <c r="A625" t="s">
        <v>315</v>
      </c>
    </row>
    <row r="626" spans="1:1">
      <c r="A626">
        <v>706668691</v>
      </c>
    </row>
    <row r="627" spans="1:1">
      <c r="A627" t="s">
        <v>316</v>
      </c>
    </row>
    <row r="628" spans="1:1">
      <c r="A628">
        <v>706668691</v>
      </c>
    </row>
    <row r="629" spans="1:1">
      <c r="A629" t="s">
        <v>317</v>
      </c>
    </row>
    <row r="630" spans="1:1">
      <c r="A630">
        <v>706668691</v>
      </c>
    </row>
    <row r="631" spans="1:1">
      <c r="A631" t="s">
        <v>318</v>
      </c>
    </row>
    <row r="632" spans="1:1">
      <c r="A632">
        <v>706668691</v>
      </c>
    </row>
    <row r="633" spans="1:1">
      <c r="A633" t="s">
        <v>319</v>
      </c>
    </row>
    <row r="634" spans="1:1">
      <c r="A634">
        <v>706668691</v>
      </c>
    </row>
    <row r="635" spans="1:1">
      <c r="A635" t="s">
        <v>320</v>
      </c>
    </row>
    <row r="636" spans="1:1">
      <c r="A636">
        <v>706668691</v>
      </c>
    </row>
    <row r="637" spans="1:1">
      <c r="A637" t="s">
        <v>321</v>
      </c>
    </row>
    <row r="638" spans="1:1">
      <c r="A638">
        <v>706668691</v>
      </c>
    </row>
    <row r="639" spans="1:1">
      <c r="A639" t="s">
        <v>322</v>
      </c>
    </row>
    <row r="640" spans="1:1">
      <c r="A640">
        <v>706668691</v>
      </c>
    </row>
    <row r="641" spans="1:2">
      <c r="A641" s="3" t="s">
        <v>323</v>
      </c>
      <c r="B641" s="1">
        <f>640/2</f>
        <v>320</v>
      </c>
    </row>
    <row r="642" spans="1:2">
      <c r="A642">
        <v>706668600</v>
      </c>
    </row>
    <row r="643" spans="1:2">
      <c r="A643" t="s">
        <v>324</v>
      </c>
    </row>
    <row r="644" spans="1:2">
      <c r="A644">
        <v>706668600</v>
      </c>
    </row>
    <row r="645" spans="1:2">
      <c r="A645" t="s">
        <v>325</v>
      </c>
    </row>
    <row r="646" spans="1:2">
      <c r="A646">
        <v>706668600</v>
      </c>
    </row>
    <row r="647" spans="1:2">
      <c r="A647" t="s">
        <v>326</v>
      </c>
    </row>
    <row r="648" spans="1:2">
      <c r="A648">
        <v>706668600</v>
      </c>
    </row>
    <row r="649" spans="1:2">
      <c r="A649" t="s">
        <v>327</v>
      </c>
    </row>
    <row r="650" spans="1:2">
      <c r="A650">
        <v>706668600</v>
      </c>
    </row>
    <row r="651" spans="1:2">
      <c r="A651" t="s">
        <v>328</v>
      </c>
    </row>
    <row r="652" spans="1:2">
      <c r="A652">
        <v>706668600</v>
      </c>
    </row>
    <row r="653" spans="1:2">
      <c r="A653" t="s">
        <v>329</v>
      </c>
    </row>
    <row r="654" spans="1:2">
      <c r="A654">
        <v>706668600</v>
      </c>
    </row>
    <row r="655" spans="1:2">
      <c r="A655" t="s">
        <v>330</v>
      </c>
    </row>
    <row r="656" spans="1:2">
      <c r="A656">
        <v>706668600</v>
      </c>
    </row>
    <row r="657" spans="1:1">
      <c r="A657" t="s">
        <v>331</v>
      </c>
    </row>
    <row r="658" spans="1:1">
      <c r="A658">
        <v>706668600</v>
      </c>
    </row>
    <row r="659" spans="1:1">
      <c r="A659" t="s">
        <v>332</v>
      </c>
    </row>
    <row r="660" spans="1:1">
      <c r="A660">
        <v>706668600</v>
      </c>
    </row>
    <row r="661" spans="1:1">
      <c r="A661" t="s">
        <v>333</v>
      </c>
    </row>
    <row r="662" spans="1:1">
      <c r="A662">
        <v>706668600</v>
      </c>
    </row>
    <row r="663" spans="1:1">
      <c r="A663" t="s">
        <v>334</v>
      </c>
    </row>
    <row r="664" spans="1:1">
      <c r="A664">
        <v>706668600</v>
      </c>
    </row>
    <row r="665" spans="1:1">
      <c r="A665" t="s">
        <v>335</v>
      </c>
    </row>
    <row r="666" spans="1:1">
      <c r="A666">
        <v>706668600</v>
      </c>
    </row>
    <row r="667" spans="1:1">
      <c r="A667" t="s">
        <v>336</v>
      </c>
    </row>
    <row r="668" spans="1:1">
      <c r="A668">
        <v>706668600</v>
      </c>
    </row>
    <row r="669" spans="1:1">
      <c r="A669" t="s">
        <v>337</v>
      </c>
    </row>
    <row r="670" spans="1:1">
      <c r="A670">
        <v>706668600</v>
      </c>
    </row>
    <row r="671" spans="1:1">
      <c r="A671" t="s">
        <v>338</v>
      </c>
    </row>
    <row r="672" spans="1:1">
      <c r="A672">
        <v>706668600</v>
      </c>
    </row>
    <row r="673" spans="1:2">
      <c r="A673" t="s">
        <v>339</v>
      </c>
    </row>
    <row r="674" spans="1:2">
      <c r="A674">
        <v>706668600</v>
      </c>
    </row>
    <row r="675" spans="1:2">
      <c r="A675" s="3" t="s">
        <v>340</v>
      </c>
      <c r="B675" s="1">
        <f>674/2</f>
        <v>337</v>
      </c>
    </row>
    <row r="676" spans="1:2">
      <c r="A676">
        <v>706668691</v>
      </c>
    </row>
    <row r="677" spans="1:2">
      <c r="A677" t="s">
        <v>341</v>
      </c>
    </row>
    <row r="678" spans="1:2">
      <c r="A678">
        <v>706668691</v>
      </c>
    </row>
    <row r="679" spans="1:2">
      <c r="A679" t="s">
        <v>342</v>
      </c>
    </row>
    <row r="680" spans="1:2">
      <c r="A680">
        <v>706668691</v>
      </c>
    </row>
    <row r="681" spans="1:2">
      <c r="A681" t="s">
        <v>343</v>
      </c>
    </row>
    <row r="682" spans="1:2">
      <c r="A682">
        <v>706668691</v>
      </c>
    </row>
    <row r="683" spans="1:2">
      <c r="A683" t="s">
        <v>344</v>
      </c>
    </row>
    <row r="684" spans="1:2">
      <c r="A684">
        <v>706668691</v>
      </c>
    </row>
    <row r="685" spans="1:2">
      <c r="A685" t="s">
        <v>345</v>
      </c>
    </row>
    <row r="686" spans="1:2">
      <c r="A686">
        <v>706668691</v>
      </c>
    </row>
    <row r="687" spans="1:2">
      <c r="A687" t="s">
        <v>346</v>
      </c>
    </row>
    <row r="688" spans="1:2">
      <c r="A688">
        <v>706668691</v>
      </c>
    </row>
    <row r="689" spans="1:1">
      <c r="A689" t="s">
        <v>347</v>
      </c>
    </row>
    <row r="690" spans="1:1">
      <c r="A690">
        <v>706668691</v>
      </c>
    </row>
    <row r="691" spans="1:1">
      <c r="A691" t="s">
        <v>348</v>
      </c>
    </row>
    <row r="692" spans="1:1">
      <c r="A692">
        <v>706668691</v>
      </c>
    </row>
    <row r="693" spans="1:1">
      <c r="A693" t="s">
        <v>349</v>
      </c>
    </row>
    <row r="694" spans="1:1">
      <c r="A694">
        <v>706668691</v>
      </c>
    </row>
    <row r="695" spans="1:1">
      <c r="A695" t="s">
        <v>350</v>
      </c>
    </row>
    <row r="696" spans="1:1">
      <c r="A696">
        <v>706668691</v>
      </c>
    </row>
    <row r="697" spans="1:1">
      <c r="A697" t="s">
        <v>351</v>
      </c>
    </row>
    <row r="698" spans="1:1">
      <c r="A698">
        <v>706668691</v>
      </c>
    </row>
    <row r="699" spans="1:1">
      <c r="A699" t="s">
        <v>352</v>
      </c>
    </row>
    <row r="700" spans="1:1">
      <c r="A700">
        <v>706668691</v>
      </c>
    </row>
    <row r="701" spans="1:1">
      <c r="A701" t="s">
        <v>353</v>
      </c>
    </row>
    <row r="702" spans="1:1">
      <c r="A702">
        <v>706668691</v>
      </c>
    </row>
    <row r="703" spans="1:1">
      <c r="A703" t="s">
        <v>354</v>
      </c>
    </row>
    <row r="704" spans="1:1">
      <c r="A704">
        <v>706668691</v>
      </c>
    </row>
    <row r="705" spans="1:1">
      <c r="A705" t="s">
        <v>355</v>
      </c>
    </row>
    <row r="706" spans="1:1">
      <c r="A706">
        <v>706668691</v>
      </c>
    </row>
    <row r="707" spans="1:1">
      <c r="A707" t="s">
        <v>356</v>
      </c>
    </row>
    <row r="708" spans="1:1">
      <c r="A708">
        <v>706668691</v>
      </c>
    </row>
    <row r="709" spans="1:1">
      <c r="A709" t="s">
        <v>357</v>
      </c>
    </row>
    <row r="710" spans="1:1">
      <c r="A710">
        <v>706668691</v>
      </c>
    </row>
    <row r="711" spans="1:1">
      <c r="A711" t="s">
        <v>358</v>
      </c>
    </row>
    <row r="712" spans="1:1">
      <c r="A712">
        <v>706668691</v>
      </c>
    </row>
    <row r="713" spans="1:1">
      <c r="A713" t="s">
        <v>359</v>
      </c>
    </row>
    <row r="714" spans="1:1">
      <c r="A714">
        <v>706668691</v>
      </c>
    </row>
    <row r="715" spans="1:1">
      <c r="A715" t="s">
        <v>360</v>
      </c>
    </row>
    <row r="716" spans="1:1">
      <c r="A716">
        <v>706668691</v>
      </c>
    </row>
    <row r="717" spans="1:1">
      <c r="A717" t="s">
        <v>361</v>
      </c>
    </row>
    <row r="718" spans="1:1">
      <c r="A718">
        <v>706668691</v>
      </c>
    </row>
    <row r="719" spans="1:1">
      <c r="A719" t="s">
        <v>362</v>
      </c>
    </row>
    <row r="720" spans="1:1">
      <c r="A720">
        <v>706668691</v>
      </c>
    </row>
    <row r="721" spans="1:1">
      <c r="A721" t="s">
        <v>363</v>
      </c>
    </row>
    <row r="722" spans="1:1">
      <c r="A722">
        <v>706668691</v>
      </c>
    </row>
    <row r="723" spans="1:1">
      <c r="A723" t="s">
        <v>364</v>
      </c>
    </row>
    <row r="724" spans="1:1">
      <c r="A724">
        <v>706668691</v>
      </c>
    </row>
    <row r="725" spans="1:1">
      <c r="A725" t="s">
        <v>365</v>
      </c>
    </row>
    <row r="726" spans="1:1">
      <c r="A726">
        <v>706668691</v>
      </c>
    </row>
    <row r="727" spans="1:1">
      <c r="A727" t="s">
        <v>366</v>
      </c>
    </row>
    <row r="728" spans="1:1">
      <c r="A728">
        <v>706668691</v>
      </c>
    </row>
    <row r="729" spans="1:1">
      <c r="A729" t="s">
        <v>367</v>
      </c>
    </row>
    <row r="730" spans="1:1">
      <c r="A730">
        <v>706668691</v>
      </c>
    </row>
    <row r="731" spans="1:1">
      <c r="A731" t="s">
        <v>368</v>
      </c>
    </row>
    <row r="732" spans="1:1">
      <c r="A732">
        <v>706668691</v>
      </c>
    </row>
    <row r="733" spans="1:1">
      <c r="A733" t="s">
        <v>369</v>
      </c>
    </row>
    <row r="734" spans="1:1">
      <c r="A734">
        <v>706668691</v>
      </c>
    </row>
    <row r="735" spans="1:1">
      <c r="A735" t="s">
        <v>370</v>
      </c>
    </row>
    <row r="736" spans="1:1">
      <c r="A736">
        <v>706668691</v>
      </c>
    </row>
    <row r="737" spans="1:1">
      <c r="A737" t="s">
        <v>371</v>
      </c>
    </row>
    <row r="738" spans="1:1">
      <c r="A738">
        <v>706668691</v>
      </c>
    </row>
    <row r="739" spans="1:1">
      <c r="A739" t="s">
        <v>372</v>
      </c>
    </row>
    <row r="740" spans="1:1">
      <c r="A740">
        <v>706668691</v>
      </c>
    </row>
    <row r="741" spans="1:1">
      <c r="A741" t="s">
        <v>373</v>
      </c>
    </row>
    <row r="742" spans="1:1">
      <c r="A742">
        <v>706668691</v>
      </c>
    </row>
    <row r="743" spans="1:1">
      <c r="A743" t="s">
        <v>374</v>
      </c>
    </row>
    <row r="744" spans="1:1">
      <c r="A744">
        <v>706668691</v>
      </c>
    </row>
    <row r="745" spans="1:1">
      <c r="A745" t="s">
        <v>375</v>
      </c>
    </row>
    <row r="746" spans="1:1">
      <c r="A746">
        <v>706668691</v>
      </c>
    </row>
    <row r="747" spans="1:1">
      <c r="A747" t="s">
        <v>376</v>
      </c>
    </row>
    <row r="748" spans="1:1">
      <c r="A748">
        <v>706668691</v>
      </c>
    </row>
    <row r="749" spans="1:1">
      <c r="A749" t="s">
        <v>377</v>
      </c>
    </row>
    <row r="750" spans="1:1">
      <c r="A750">
        <v>706668691</v>
      </c>
    </row>
    <row r="751" spans="1:1">
      <c r="A751" t="s">
        <v>378</v>
      </c>
    </row>
    <row r="752" spans="1:1">
      <c r="A752">
        <v>706668691</v>
      </c>
    </row>
    <row r="753" spans="1:1">
      <c r="A753" t="s">
        <v>379</v>
      </c>
    </row>
    <row r="754" spans="1:1">
      <c r="A754">
        <v>706668691</v>
      </c>
    </row>
    <row r="755" spans="1:1">
      <c r="A755" t="s">
        <v>380</v>
      </c>
    </row>
    <row r="756" spans="1:1">
      <c r="A756">
        <v>706668691</v>
      </c>
    </row>
    <row r="757" spans="1:1">
      <c r="A757" t="s">
        <v>381</v>
      </c>
    </row>
    <row r="758" spans="1:1">
      <c r="A758">
        <v>706668691</v>
      </c>
    </row>
    <row r="759" spans="1:1">
      <c r="A759" t="s">
        <v>382</v>
      </c>
    </row>
    <row r="760" spans="1:1">
      <c r="A760">
        <v>706668691</v>
      </c>
    </row>
    <row r="761" spans="1:1">
      <c r="A761" t="s">
        <v>383</v>
      </c>
    </row>
    <row r="762" spans="1:1">
      <c r="A762">
        <v>706668691</v>
      </c>
    </row>
    <row r="763" spans="1:1">
      <c r="A763" t="s">
        <v>384</v>
      </c>
    </row>
    <row r="764" spans="1:1">
      <c r="A764">
        <v>706668691</v>
      </c>
    </row>
    <row r="765" spans="1:1">
      <c r="A765" t="s">
        <v>385</v>
      </c>
    </row>
    <row r="766" spans="1:1">
      <c r="A766">
        <v>706668691</v>
      </c>
    </row>
    <row r="767" spans="1:1">
      <c r="A767" t="s">
        <v>386</v>
      </c>
    </row>
    <row r="768" spans="1:1">
      <c r="A768">
        <v>706668691</v>
      </c>
    </row>
    <row r="769" spans="1:1">
      <c r="A769" t="s">
        <v>387</v>
      </c>
    </row>
    <row r="770" spans="1:1">
      <c r="A770">
        <v>706668691</v>
      </c>
    </row>
    <row r="771" spans="1:1">
      <c r="A771" t="s">
        <v>388</v>
      </c>
    </row>
    <row r="772" spans="1:1">
      <c r="A772">
        <v>706668691</v>
      </c>
    </row>
    <row r="773" spans="1:1">
      <c r="A773" t="s">
        <v>389</v>
      </c>
    </row>
    <row r="774" spans="1:1">
      <c r="A774">
        <v>706668691</v>
      </c>
    </row>
    <row r="775" spans="1:1">
      <c r="A775" t="s">
        <v>390</v>
      </c>
    </row>
    <row r="776" spans="1:1">
      <c r="A776">
        <v>706668691</v>
      </c>
    </row>
    <row r="777" spans="1:1">
      <c r="A777" t="s">
        <v>391</v>
      </c>
    </row>
    <row r="778" spans="1:1">
      <c r="A778">
        <v>706668691</v>
      </c>
    </row>
    <row r="779" spans="1:1">
      <c r="A779" t="s">
        <v>392</v>
      </c>
    </row>
    <row r="780" spans="1:1">
      <c r="A780">
        <v>706668691</v>
      </c>
    </row>
    <row r="781" spans="1:1">
      <c r="A781" t="s">
        <v>393</v>
      </c>
    </row>
    <row r="782" spans="1:1">
      <c r="A782">
        <v>706668691</v>
      </c>
    </row>
    <row r="783" spans="1:1">
      <c r="A783" t="s">
        <v>394</v>
      </c>
    </row>
    <row r="784" spans="1:1">
      <c r="A784">
        <v>706668691</v>
      </c>
    </row>
    <row r="785" spans="1:1">
      <c r="A785" t="s">
        <v>395</v>
      </c>
    </row>
    <row r="786" spans="1:1">
      <c r="A786">
        <v>706668691</v>
      </c>
    </row>
    <row r="787" spans="1:1">
      <c r="A787" t="s">
        <v>396</v>
      </c>
    </row>
    <row r="788" spans="1:1">
      <c r="A788">
        <v>706668691</v>
      </c>
    </row>
    <row r="789" spans="1:1">
      <c r="A789" t="s">
        <v>397</v>
      </c>
    </row>
    <row r="790" spans="1:1">
      <c r="A790">
        <v>706668691</v>
      </c>
    </row>
    <row r="791" spans="1:1">
      <c r="A791" t="s">
        <v>398</v>
      </c>
    </row>
    <row r="792" spans="1:1">
      <c r="A792">
        <v>706668691</v>
      </c>
    </row>
    <row r="793" spans="1:1">
      <c r="A793" t="s">
        <v>399</v>
      </c>
    </row>
    <row r="794" spans="1:1">
      <c r="A794">
        <v>706668691</v>
      </c>
    </row>
    <row r="795" spans="1:1">
      <c r="A795" t="s">
        <v>400</v>
      </c>
    </row>
    <row r="796" spans="1:1">
      <c r="A796">
        <v>706668691</v>
      </c>
    </row>
    <row r="797" spans="1:1">
      <c r="A797" t="s">
        <v>401</v>
      </c>
    </row>
    <row r="798" spans="1:1">
      <c r="A798">
        <v>706668691</v>
      </c>
    </row>
    <row r="799" spans="1:1">
      <c r="A799" t="s">
        <v>402</v>
      </c>
    </row>
    <row r="800" spans="1:1">
      <c r="A800">
        <v>706668691</v>
      </c>
    </row>
    <row r="801" spans="1:1">
      <c r="A801" t="s">
        <v>403</v>
      </c>
    </row>
    <row r="802" spans="1:1">
      <c r="A802">
        <v>706668691</v>
      </c>
    </row>
    <row r="803" spans="1:1">
      <c r="A803" t="s">
        <v>404</v>
      </c>
    </row>
    <row r="804" spans="1:1">
      <c r="A804">
        <v>706668691</v>
      </c>
    </row>
    <row r="805" spans="1:1">
      <c r="A805" t="s">
        <v>405</v>
      </c>
    </row>
    <row r="806" spans="1:1">
      <c r="A806">
        <v>706668691</v>
      </c>
    </row>
    <row r="807" spans="1:1">
      <c r="A807" t="s">
        <v>406</v>
      </c>
    </row>
    <row r="808" spans="1:1">
      <c r="A808">
        <v>706668691</v>
      </c>
    </row>
    <row r="809" spans="1:1">
      <c r="A809" t="s">
        <v>407</v>
      </c>
    </row>
    <row r="810" spans="1:1">
      <c r="A810">
        <v>706668691</v>
      </c>
    </row>
    <row r="811" spans="1:1">
      <c r="A811" t="s">
        <v>408</v>
      </c>
    </row>
    <row r="812" spans="1:1">
      <c r="A812">
        <v>706668691</v>
      </c>
    </row>
    <row r="813" spans="1:1">
      <c r="A813" t="s">
        <v>409</v>
      </c>
    </row>
    <row r="814" spans="1:1">
      <c r="A814">
        <v>706668691</v>
      </c>
    </row>
    <row r="815" spans="1:1">
      <c r="A815" t="s">
        <v>410</v>
      </c>
    </row>
    <row r="816" spans="1:1">
      <c r="A816">
        <v>706668691</v>
      </c>
    </row>
    <row r="817" spans="1:2">
      <c r="A817" t="s">
        <v>411</v>
      </c>
    </row>
    <row r="818" spans="1:2">
      <c r="A818">
        <v>706668691</v>
      </c>
    </row>
    <row r="819" spans="1:2">
      <c r="A819" t="s">
        <v>412</v>
      </c>
    </row>
    <row r="820" spans="1:2">
      <c r="A820">
        <v>706668691</v>
      </c>
    </row>
    <row r="821" spans="1:2">
      <c r="A821" t="s">
        <v>413</v>
      </c>
    </row>
    <row r="822" spans="1:2">
      <c r="A822">
        <v>706668691</v>
      </c>
    </row>
    <row r="823" spans="1:2">
      <c r="A823" s="3" t="s">
        <v>414</v>
      </c>
      <c r="B823" s="1">
        <f>822/2</f>
        <v>411</v>
      </c>
    </row>
    <row r="824" spans="1:2">
      <c r="A824">
        <v>706668691</v>
      </c>
    </row>
    <row r="825" spans="1:2">
      <c r="A825" t="s">
        <v>415</v>
      </c>
    </row>
    <row r="826" spans="1:2">
      <c r="A826">
        <v>706668691</v>
      </c>
    </row>
    <row r="827" spans="1:2">
      <c r="A827" t="s">
        <v>416</v>
      </c>
    </row>
    <row r="828" spans="1:2">
      <c r="A828">
        <v>706668691</v>
      </c>
    </row>
    <row r="829" spans="1:2">
      <c r="A829" t="s">
        <v>417</v>
      </c>
    </row>
    <row r="830" spans="1:2">
      <c r="A830">
        <v>706668691</v>
      </c>
    </row>
    <row r="831" spans="1:2">
      <c r="A831" t="s">
        <v>418</v>
      </c>
    </row>
    <row r="832" spans="1:2">
      <c r="A832">
        <v>706668691</v>
      </c>
    </row>
    <row r="833" spans="1:1">
      <c r="A833" t="s">
        <v>419</v>
      </c>
    </row>
    <row r="834" spans="1:1">
      <c r="A834">
        <v>706668691</v>
      </c>
    </row>
    <row r="835" spans="1:1">
      <c r="A835" t="s">
        <v>420</v>
      </c>
    </row>
    <row r="836" spans="1:1">
      <c r="A836">
        <v>706668691</v>
      </c>
    </row>
    <row r="837" spans="1:1">
      <c r="A837" t="s">
        <v>421</v>
      </c>
    </row>
    <row r="838" spans="1:1">
      <c r="A838">
        <v>706668691</v>
      </c>
    </row>
    <row r="839" spans="1:1">
      <c r="A839" t="s">
        <v>422</v>
      </c>
    </row>
    <row r="840" spans="1:1">
      <c r="A840">
        <v>706668691</v>
      </c>
    </row>
    <row r="841" spans="1:1">
      <c r="A841" t="s">
        <v>423</v>
      </c>
    </row>
    <row r="842" spans="1:1">
      <c r="A842">
        <v>706668691</v>
      </c>
    </row>
    <row r="843" spans="1:1">
      <c r="A843" t="s">
        <v>424</v>
      </c>
    </row>
    <row r="844" spans="1:1">
      <c r="A844">
        <v>706668691</v>
      </c>
    </row>
    <row r="845" spans="1:1">
      <c r="A845" t="s">
        <v>425</v>
      </c>
    </row>
    <row r="846" spans="1:1">
      <c r="A846">
        <v>706668691</v>
      </c>
    </row>
    <row r="847" spans="1:1">
      <c r="A847" t="s">
        <v>426</v>
      </c>
    </row>
    <row r="848" spans="1:1">
      <c r="A848">
        <v>706668691</v>
      </c>
    </row>
    <row r="849" spans="1:2">
      <c r="A849" t="s">
        <v>427</v>
      </c>
    </row>
    <row r="850" spans="1:2">
      <c r="A850">
        <v>706668691</v>
      </c>
    </row>
    <row r="851" spans="1:2">
      <c r="A851" t="s">
        <v>428</v>
      </c>
    </row>
    <row r="852" spans="1:2">
      <c r="A852">
        <v>706668691</v>
      </c>
    </row>
    <row r="853" spans="1:2">
      <c r="A853" t="s">
        <v>429</v>
      </c>
    </row>
    <row r="854" spans="1:2">
      <c r="A854">
        <v>706668691</v>
      </c>
    </row>
    <row r="855" spans="1:2">
      <c r="A855" t="s">
        <v>430</v>
      </c>
    </row>
    <row r="856" spans="1:2">
      <c r="A856">
        <v>706668691</v>
      </c>
    </row>
    <row r="857" spans="1:2">
      <c r="A857" s="3" t="s">
        <v>431</v>
      </c>
      <c r="B857" s="1">
        <f>856/2</f>
        <v>428</v>
      </c>
    </row>
    <row r="858" spans="1:2">
      <c r="A858">
        <v>704646848</v>
      </c>
    </row>
    <row r="859" spans="1:2">
      <c r="A859" t="s">
        <v>432</v>
      </c>
    </row>
    <row r="860" spans="1:2">
      <c r="A860">
        <v>704646848</v>
      </c>
    </row>
    <row r="861" spans="1:2">
      <c r="A861" t="s">
        <v>433</v>
      </c>
    </row>
    <row r="862" spans="1:2">
      <c r="A862">
        <v>704646848</v>
      </c>
    </row>
    <row r="863" spans="1:2">
      <c r="A863" t="s">
        <v>434</v>
      </c>
    </row>
    <row r="864" spans="1:2">
      <c r="A864">
        <v>707013111</v>
      </c>
    </row>
    <row r="865" spans="1:3">
      <c r="A865" t="s">
        <v>435</v>
      </c>
    </row>
    <row r="866" spans="1:3">
      <c r="A866">
        <v>707013111</v>
      </c>
    </row>
    <row r="867" spans="1:3">
      <c r="A867" t="s">
        <v>436</v>
      </c>
    </row>
    <row r="868" spans="1:3">
      <c r="A868">
        <v>707013111</v>
      </c>
    </row>
    <row r="869" spans="1:3">
      <c r="A869" t="s">
        <v>437</v>
      </c>
    </row>
    <row r="870" spans="1:3">
      <c r="A870">
        <v>707013111</v>
      </c>
    </row>
    <row r="871" spans="1:3">
      <c r="A871" t="s">
        <v>438</v>
      </c>
    </row>
    <row r="872" spans="1:3">
      <c r="A872">
        <v>705227861</v>
      </c>
    </row>
    <row r="873" spans="1:3">
      <c r="A873" t="s">
        <v>439</v>
      </c>
    </row>
    <row r="874" spans="1:3">
      <c r="A874">
        <v>705227861</v>
      </c>
    </row>
    <row r="875" spans="1:3">
      <c r="A875" s="3" t="s">
        <v>440</v>
      </c>
      <c r="B875" s="4">
        <f>874/2</f>
        <v>437</v>
      </c>
      <c r="C875" s="4" t="s">
        <v>441</v>
      </c>
    </row>
    <row r="876" spans="1:3">
      <c r="A876">
        <v>707637703</v>
      </c>
    </row>
    <row r="877" spans="1:3">
      <c r="A877" t="s">
        <v>442</v>
      </c>
    </row>
    <row r="878" spans="1:3">
      <c r="A878">
        <v>707638040</v>
      </c>
    </row>
    <row r="879" spans="1:3">
      <c r="A879" t="s">
        <v>443</v>
      </c>
    </row>
    <row r="880" spans="1:3">
      <c r="A880">
        <v>706253577</v>
      </c>
    </row>
    <row r="881" spans="1:2">
      <c r="A881" t="s">
        <v>444</v>
      </c>
    </row>
    <row r="882" spans="1:2">
      <c r="A882">
        <v>706185886</v>
      </c>
    </row>
    <row r="883" spans="1:2">
      <c r="A883" t="s">
        <v>445</v>
      </c>
    </row>
    <row r="884" spans="1:2">
      <c r="A884">
        <v>706253577</v>
      </c>
    </row>
    <row r="885" spans="1:2">
      <c r="A885" t="s">
        <v>446</v>
      </c>
    </row>
    <row r="886" spans="1:2">
      <c r="A886">
        <v>706185886</v>
      </c>
    </row>
    <row r="887" spans="1:2">
      <c r="A887" s="3" t="s">
        <v>447</v>
      </c>
      <c r="B887" s="1">
        <f>886/2</f>
        <v>443</v>
      </c>
    </row>
    <row r="888" spans="1:2">
      <c r="A888">
        <v>689280548</v>
      </c>
    </row>
    <row r="889" spans="1:2">
      <c r="A889" t="s">
        <v>448</v>
      </c>
    </row>
    <row r="890" spans="1:2">
      <c r="A890">
        <v>706532053</v>
      </c>
    </row>
    <row r="891" spans="1:2">
      <c r="A891" t="s">
        <v>449</v>
      </c>
    </row>
    <row r="892" spans="1:2">
      <c r="A892">
        <v>706532053</v>
      </c>
    </row>
    <row r="893" spans="1:2">
      <c r="A893" t="s">
        <v>450</v>
      </c>
    </row>
    <row r="894" spans="1:2">
      <c r="A894">
        <v>706532053</v>
      </c>
    </row>
    <row r="895" spans="1:2">
      <c r="A895" t="s">
        <v>451</v>
      </c>
    </row>
    <row r="896" spans="1:2">
      <c r="A896">
        <v>706532053</v>
      </c>
    </row>
    <row r="897" spans="1:1">
      <c r="A897" t="s">
        <v>452</v>
      </c>
    </row>
    <row r="898" spans="1:1">
      <c r="A898">
        <v>706532053</v>
      </c>
    </row>
    <row r="899" spans="1:1">
      <c r="A899" t="s">
        <v>453</v>
      </c>
    </row>
    <row r="900" spans="1:1">
      <c r="A900">
        <v>706532053</v>
      </c>
    </row>
    <row r="901" spans="1:1">
      <c r="A901" t="s">
        <v>454</v>
      </c>
    </row>
    <row r="902" spans="1:1">
      <c r="A902">
        <v>689280548</v>
      </c>
    </row>
    <row r="903" spans="1:1">
      <c r="A903" t="s">
        <v>455</v>
      </c>
    </row>
    <row r="904" spans="1:1">
      <c r="A904">
        <v>689280548</v>
      </c>
    </row>
    <row r="905" spans="1:1">
      <c r="A905" t="s">
        <v>456</v>
      </c>
    </row>
    <row r="906" spans="1:1">
      <c r="A906">
        <v>689280548</v>
      </c>
    </row>
    <row r="907" spans="1:1">
      <c r="A907" t="s">
        <v>457</v>
      </c>
    </row>
    <row r="908" spans="1:1">
      <c r="A908">
        <v>689280548</v>
      </c>
    </row>
    <row r="909" spans="1:1">
      <c r="A909" t="s">
        <v>458</v>
      </c>
    </row>
    <row r="910" spans="1:1">
      <c r="A910">
        <v>701928579</v>
      </c>
    </row>
    <row r="911" spans="1:1">
      <c r="A911" t="s">
        <v>459</v>
      </c>
    </row>
    <row r="912" spans="1:1">
      <c r="A912">
        <v>701928579</v>
      </c>
    </row>
    <row r="913" spans="1:1">
      <c r="A913" t="s">
        <v>460</v>
      </c>
    </row>
    <row r="914" spans="1:1">
      <c r="A914">
        <v>701928579</v>
      </c>
    </row>
    <row r="915" spans="1:1">
      <c r="A915" t="s">
        <v>461</v>
      </c>
    </row>
    <row r="916" spans="1:1">
      <c r="A916">
        <v>701928579</v>
      </c>
    </row>
    <row r="917" spans="1:1">
      <c r="A917" t="s">
        <v>462</v>
      </c>
    </row>
    <row r="918" spans="1:1">
      <c r="A918">
        <v>701928579</v>
      </c>
    </row>
    <row r="919" spans="1:1">
      <c r="A919" t="s">
        <v>463</v>
      </c>
    </row>
    <row r="920" spans="1:1">
      <c r="A920">
        <v>701928579</v>
      </c>
    </row>
    <row r="921" spans="1:1">
      <c r="A921" t="s">
        <v>464</v>
      </c>
    </row>
    <row r="922" spans="1:1">
      <c r="A922">
        <v>701928579</v>
      </c>
    </row>
    <row r="923" spans="1:1">
      <c r="A923" t="s">
        <v>465</v>
      </c>
    </row>
    <row r="924" spans="1:1">
      <c r="A924">
        <v>701928579</v>
      </c>
    </row>
    <row r="925" spans="1:1">
      <c r="A925" t="s">
        <v>466</v>
      </c>
    </row>
    <row r="926" spans="1:1">
      <c r="A926">
        <v>701928579</v>
      </c>
    </row>
    <row r="927" spans="1:1">
      <c r="A927" t="s">
        <v>467</v>
      </c>
    </row>
    <row r="928" spans="1:1">
      <c r="A928">
        <v>701928579</v>
      </c>
    </row>
    <row r="929" spans="1:2">
      <c r="A929" s="3" t="s">
        <v>468</v>
      </c>
      <c r="B929" s="1">
        <f>928/2</f>
        <v>464</v>
      </c>
    </row>
    <row r="930" spans="1:2">
      <c r="A930">
        <v>706982209</v>
      </c>
    </row>
    <row r="931" spans="1:2">
      <c r="A931" t="s">
        <v>469</v>
      </c>
    </row>
    <row r="932" spans="1:2">
      <c r="A932">
        <v>706982209</v>
      </c>
    </row>
    <row r="933" spans="1:2">
      <c r="A933" t="s">
        <v>470</v>
      </c>
    </row>
    <row r="934" spans="1:2">
      <c r="A934">
        <v>706982209</v>
      </c>
    </row>
    <row r="935" spans="1:2">
      <c r="A935" t="s">
        <v>471</v>
      </c>
    </row>
    <row r="936" spans="1:2">
      <c r="A936">
        <v>706982209</v>
      </c>
    </row>
    <row r="937" spans="1:2">
      <c r="A937" t="s">
        <v>472</v>
      </c>
    </row>
    <row r="938" spans="1:2">
      <c r="A938">
        <v>706982209</v>
      </c>
    </row>
    <row r="939" spans="1:2">
      <c r="A939" t="s">
        <v>473</v>
      </c>
    </row>
    <row r="940" spans="1:2">
      <c r="A940">
        <v>706982209</v>
      </c>
    </row>
    <row r="941" spans="1:2">
      <c r="A941" t="s">
        <v>474</v>
      </c>
    </row>
    <row r="942" spans="1:2">
      <c r="A942">
        <v>706982209</v>
      </c>
    </row>
    <row r="943" spans="1:2">
      <c r="A943" t="s">
        <v>475</v>
      </c>
    </row>
    <row r="944" spans="1:2">
      <c r="A944">
        <v>706982209</v>
      </c>
    </row>
    <row r="945" spans="1:1">
      <c r="A945" t="s">
        <v>476</v>
      </c>
    </row>
    <row r="946" spans="1:1">
      <c r="A946">
        <v>706982209</v>
      </c>
    </row>
    <row r="947" spans="1:1">
      <c r="A947" t="s">
        <v>477</v>
      </c>
    </row>
    <row r="948" spans="1:1">
      <c r="A948">
        <v>706982209</v>
      </c>
    </row>
    <row r="949" spans="1:1">
      <c r="A949" t="s">
        <v>478</v>
      </c>
    </row>
    <row r="950" spans="1:1">
      <c r="A950">
        <v>706982209</v>
      </c>
    </row>
    <row r="951" spans="1:1">
      <c r="A951" t="s">
        <v>479</v>
      </c>
    </row>
    <row r="952" spans="1:1">
      <c r="A952">
        <v>706982209</v>
      </c>
    </row>
    <row r="953" spans="1:1">
      <c r="A953" t="s">
        <v>480</v>
      </c>
    </row>
    <row r="954" spans="1:1">
      <c r="A954">
        <v>706982209</v>
      </c>
    </row>
    <row r="955" spans="1:1">
      <c r="A955" t="s">
        <v>481</v>
      </c>
    </row>
    <row r="956" spans="1:1">
      <c r="A956">
        <v>706982209</v>
      </c>
    </row>
    <row r="957" spans="1:1">
      <c r="A957" t="s">
        <v>482</v>
      </c>
    </row>
    <row r="958" spans="1:1">
      <c r="A958">
        <v>706982209</v>
      </c>
    </row>
    <row r="959" spans="1:1">
      <c r="A959" t="s">
        <v>483</v>
      </c>
    </row>
    <row r="960" spans="1:1">
      <c r="A960">
        <v>706982209</v>
      </c>
    </row>
    <row r="961" spans="1:1">
      <c r="A961" t="s">
        <v>484</v>
      </c>
    </row>
    <row r="962" spans="1:1">
      <c r="A962">
        <v>706982209</v>
      </c>
    </row>
    <row r="963" spans="1:1">
      <c r="A963" t="s">
        <v>485</v>
      </c>
    </row>
    <row r="964" spans="1:1">
      <c r="A964">
        <v>706982209</v>
      </c>
    </row>
    <row r="965" spans="1:1">
      <c r="A965" t="s">
        <v>486</v>
      </c>
    </row>
    <row r="966" spans="1:1">
      <c r="A966">
        <v>706982209</v>
      </c>
    </row>
    <row r="967" spans="1:1">
      <c r="A967" t="s">
        <v>487</v>
      </c>
    </row>
    <row r="968" spans="1:1">
      <c r="A968">
        <v>706982209</v>
      </c>
    </row>
    <row r="969" spans="1:1">
      <c r="A969" t="s">
        <v>488</v>
      </c>
    </row>
    <row r="970" spans="1:1">
      <c r="A970">
        <v>706982209</v>
      </c>
    </row>
    <row r="971" spans="1:1">
      <c r="A971" t="s">
        <v>489</v>
      </c>
    </row>
    <row r="972" spans="1:1">
      <c r="A972">
        <v>706982209</v>
      </c>
    </row>
    <row r="973" spans="1:1">
      <c r="A973" t="s">
        <v>490</v>
      </c>
    </row>
    <row r="974" spans="1:1">
      <c r="A974">
        <v>706982209</v>
      </c>
    </row>
    <row r="975" spans="1:1">
      <c r="A975" t="s">
        <v>491</v>
      </c>
    </row>
    <row r="976" spans="1:1">
      <c r="A976">
        <v>706982209</v>
      </c>
    </row>
    <row r="977" spans="1:1">
      <c r="A977" t="s">
        <v>492</v>
      </c>
    </row>
    <row r="978" spans="1:1">
      <c r="A978">
        <v>706982209</v>
      </c>
    </row>
    <row r="979" spans="1:1">
      <c r="A979" t="s">
        <v>493</v>
      </c>
    </row>
    <row r="980" spans="1:1">
      <c r="A980">
        <v>706982209</v>
      </c>
    </row>
    <row r="981" spans="1:1">
      <c r="A981" t="s">
        <v>494</v>
      </c>
    </row>
    <row r="982" spans="1:1">
      <c r="A982">
        <v>706982209</v>
      </c>
    </row>
    <row r="983" spans="1:1">
      <c r="A983" t="s">
        <v>495</v>
      </c>
    </row>
    <row r="984" spans="1:1">
      <c r="A984">
        <v>706982209</v>
      </c>
    </row>
    <row r="985" spans="1:1">
      <c r="A985" t="s">
        <v>496</v>
      </c>
    </row>
    <row r="986" spans="1:1">
      <c r="A986">
        <v>706982209</v>
      </c>
    </row>
    <row r="987" spans="1:1">
      <c r="A987" t="s">
        <v>497</v>
      </c>
    </row>
    <row r="988" spans="1:1">
      <c r="A988">
        <v>706982209</v>
      </c>
    </row>
    <row r="989" spans="1:1">
      <c r="A989" t="s">
        <v>498</v>
      </c>
    </row>
    <row r="990" spans="1:1">
      <c r="A990">
        <v>706982209</v>
      </c>
    </row>
    <row r="991" spans="1:1">
      <c r="A991" t="s">
        <v>499</v>
      </c>
    </row>
    <row r="992" spans="1:1">
      <c r="A992">
        <v>706982209</v>
      </c>
    </row>
    <row r="993" spans="1:1">
      <c r="A993" t="s">
        <v>500</v>
      </c>
    </row>
    <row r="994" spans="1:1">
      <c r="A994">
        <v>706982209</v>
      </c>
    </row>
    <row r="995" spans="1:1">
      <c r="A995" t="s">
        <v>501</v>
      </c>
    </row>
    <row r="996" spans="1:1">
      <c r="A996">
        <v>706982209</v>
      </c>
    </row>
    <row r="997" spans="1:1">
      <c r="A997" t="s">
        <v>502</v>
      </c>
    </row>
    <row r="998" spans="1:1">
      <c r="A998">
        <v>706982209</v>
      </c>
    </row>
    <row r="999" spans="1:1">
      <c r="A999" t="s">
        <v>503</v>
      </c>
    </row>
    <row r="1000" spans="1:1">
      <c r="A1000">
        <v>706982209</v>
      </c>
    </row>
    <row r="1001" spans="1:1">
      <c r="A1001" t="s">
        <v>504</v>
      </c>
    </row>
    <row r="1002" spans="1:1">
      <c r="A1002">
        <v>706982209</v>
      </c>
    </row>
    <row r="1003" spans="1:1">
      <c r="A1003" t="s">
        <v>505</v>
      </c>
    </row>
    <row r="1004" spans="1:1">
      <c r="A1004">
        <v>706982209</v>
      </c>
    </row>
    <row r="1005" spans="1:1">
      <c r="A1005" t="s">
        <v>506</v>
      </c>
    </row>
    <row r="1006" spans="1:1">
      <c r="A1006">
        <v>706982209</v>
      </c>
    </row>
    <row r="1007" spans="1:1">
      <c r="A1007" t="s">
        <v>507</v>
      </c>
    </row>
    <row r="1008" spans="1:1">
      <c r="A1008">
        <v>706982209</v>
      </c>
    </row>
    <row r="1009" spans="1:2">
      <c r="A1009" s="3" t="s">
        <v>508</v>
      </c>
      <c r="B1009" s="1">
        <f>1008/2</f>
        <v>504</v>
      </c>
    </row>
    <row r="1010" spans="1:2">
      <c r="A1010">
        <v>706318925</v>
      </c>
    </row>
    <row r="1011" spans="1:2">
      <c r="A1011" t="s">
        <v>509</v>
      </c>
    </row>
    <row r="1012" spans="1:2">
      <c r="A1012">
        <v>706318925</v>
      </c>
    </row>
    <row r="1013" spans="1:2">
      <c r="A1013" t="s">
        <v>510</v>
      </c>
    </row>
    <row r="1014" spans="1:2">
      <c r="A1014">
        <v>706318925</v>
      </c>
    </row>
    <row r="1015" spans="1:2">
      <c r="A1015" t="s">
        <v>511</v>
      </c>
    </row>
    <row r="1016" spans="1:2">
      <c r="A1016">
        <v>706318925</v>
      </c>
    </row>
    <row r="1017" spans="1:2">
      <c r="A1017" t="s">
        <v>512</v>
      </c>
    </row>
    <row r="1018" spans="1:2">
      <c r="A1018">
        <v>706318925</v>
      </c>
    </row>
    <row r="1019" spans="1:2">
      <c r="A1019" t="s">
        <v>513</v>
      </c>
    </row>
    <row r="1020" spans="1:2">
      <c r="A1020">
        <v>706318925</v>
      </c>
    </row>
    <row r="1021" spans="1:2">
      <c r="A1021" t="s">
        <v>514</v>
      </c>
    </row>
    <row r="1022" spans="1:2">
      <c r="A1022">
        <v>706318925</v>
      </c>
    </row>
    <row r="1023" spans="1:2">
      <c r="A1023" t="s">
        <v>515</v>
      </c>
    </row>
    <row r="1024" spans="1:2">
      <c r="A1024">
        <v>706318925</v>
      </c>
    </row>
    <row r="1025" spans="1:1">
      <c r="A1025" t="s">
        <v>516</v>
      </c>
    </row>
    <row r="1026" spans="1:1">
      <c r="A1026">
        <v>706318925</v>
      </c>
    </row>
    <row r="1027" spans="1:1">
      <c r="A1027" t="s">
        <v>517</v>
      </c>
    </row>
    <row r="1028" spans="1:1">
      <c r="A1028">
        <v>706318925</v>
      </c>
    </row>
    <row r="1029" spans="1:1">
      <c r="A1029" t="s">
        <v>518</v>
      </c>
    </row>
    <row r="1030" spans="1:1">
      <c r="A1030">
        <v>706318925</v>
      </c>
    </row>
    <row r="1031" spans="1:1">
      <c r="A1031" t="s">
        <v>519</v>
      </c>
    </row>
    <row r="1032" spans="1:1">
      <c r="A1032">
        <v>706318925</v>
      </c>
    </row>
    <row r="1033" spans="1:1">
      <c r="A1033" t="s">
        <v>520</v>
      </c>
    </row>
    <row r="1034" spans="1:1">
      <c r="A1034">
        <v>706318925</v>
      </c>
    </row>
    <row r="1035" spans="1:1">
      <c r="A1035" t="s">
        <v>521</v>
      </c>
    </row>
    <row r="1036" spans="1:1">
      <c r="A1036">
        <v>706318925</v>
      </c>
    </row>
    <row r="1037" spans="1:1">
      <c r="A1037" t="s">
        <v>522</v>
      </c>
    </row>
    <row r="1038" spans="1:1">
      <c r="A1038">
        <v>706318925</v>
      </c>
    </row>
    <row r="1039" spans="1:1">
      <c r="A1039" t="s">
        <v>523</v>
      </c>
    </row>
    <row r="1040" spans="1:1">
      <c r="A1040">
        <v>706318925</v>
      </c>
    </row>
    <row r="1041" spans="1:1">
      <c r="A1041" t="s">
        <v>524</v>
      </c>
    </row>
    <row r="1042" spans="1:1">
      <c r="A1042">
        <v>706318925</v>
      </c>
    </row>
    <row r="1043" spans="1:1">
      <c r="A1043" t="s">
        <v>525</v>
      </c>
    </row>
    <row r="1044" spans="1:1">
      <c r="A1044">
        <v>706318925</v>
      </c>
    </row>
    <row r="1045" spans="1:1">
      <c r="A1045" t="s">
        <v>526</v>
      </c>
    </row>
    <row r="1046" spans="1:1">
      <c r="A1046">
        <v>706318925</v>
      </c>
    </row>
    <row r="1047" spans="1:1">
      <c r="A1047" t="s">
        <v>527</v>
      </c>
    </row>
    <row r="1048" spans="1:1">
      <c r="A1048">
        <v>706318925</v>
      </c>
    </row>
    <row r="1049" spans="1:1">
      <c r="A1049" t="s">
        <v>528</v>
      </c>
    </row>
    <row r="1050" spans="1:1">
      <c r="A1050">
        <v>706318925</v>
      </c>
    </row>
    <row r="1051" spans="1:1">
      <c r="A1051" t="s">
        <v>529</v>
      </c>
    </row>
    <row r="1052" spans="1:1">
      <c r="A1052">
        <v>706318925</v>
      </c>
    </row>
    <row r="1053" spans="1:1">
      <c r="A1053" t="s">
        <v>530</v>
      </c>
    </row>
    <row r="1054" spans="1:1">
      <c r="A1054">
        <v>706318925</v>
      </c>
    </row>
    <row r="1055" spans="1:1">
      <c r="A1055" t="s">
        <v>531</v>
      </c>
    </row>
    <row r="1056" spans="1:1">
      <c r="A1056">
        <v>706318925</v>
      </c>
    </row>
    <row r="1057" spans="1:2">
      <c r="A1057" t="s">
        <v>532</v>
      </c>
    </row>
    <row r="1058" spans="1:2">
      <c r="A1058">
        <v>706318925</v>
      </c>
    </row>
    <row r="1059" spans="1:2">
      <c r="A1059" t="s">
        <v>533</v>
      </c>
    </row>
    <row r="1060" spans="1:2">
      <c r="A1060">
        <v>706318925</v>
      </c>
    </row>
    <row r="1061" spans="1:2">
      <c r="A1061" t="s">
        <v>534</v>
      </c>
    </row>
    <row r="1062" spans="1:2">
      <c r="A1062">
        <v>706318925</v>
      </c>
    </row>
    <row r="1063" spans="1:2">
      <c r="A1063" t="s">
        <v>535</v>
      </c>
    </row>
    <row r="1064" spans="1:2">
      <c r="A1064">
        <v>706318925</v>
      </c>
    </row>
    <row r="1065" spans="1:2">
      <c r="A1065" t="s">
        <v>536</v>
      </c>
    </row>
    <row r="1066" spans="1:2">
      <c r="A1066">
        <v>706318925</v>
      </c>
    </row>
    <row r="1067" spans="1:2">
      <c r="A1067" t="s">
        <v>537</v>
      </c>
    </row>
    <row r="1068" spans="1:2">
      <c r="A1068">
        <v>706318925</v>
      </c>
    </row>
    <row r="1069" spans="1:2">
      <c r="A1069" s="3" t="s">
        <v>538</v>
      </c>
      <c r="B1069" s="1">
        <f>1068/2</f>
        <v>534</v>
      </c>
    </row>
    <row r="1070" spans="1:2">
      <c r="A1070">
        <v>706982209</v>
      </c>
    </row>
    <row r="1071" spans="1:2">
      <c r="A1071" t="s">
        <v>539</v>
      </c>
    </row>
    <row r="1072" spans="1:2">
      <c r="A1072">
        <v>706982209</v>
      </c>
    </row>
    <row r="1073" spans="1:1">
      <c r="A1073" t="s">
        <v>540</v>
      </c>
    </row>
    <row r="1074" spans="1:1">
      <c r="A1074">
        <v>706982209</v>
      </c>
    </row>
    <row r="1075" spans="1:1">
      <c r="A1075" t="s">
        <v>541</v>
      </c>
    </row>
    <row r="1076" spans="1:1">
      <c r="A1076">
        <v>706982209</v>
      </c>
    </row>
    <row r="1077" spans="1:1">
      <c r="A1077" t="s">
        <v>542</v>
      </c>
    </row>
    <row r="1078" spans="1:1">
      <c r="A1078">
        <v>706982209</v>
      </c>
    </row>
    <row r="1079" spans="1:1">
      <c r="A1079" t="s">
        <v>543</v>
      </c>
    </row>
    <row r="1080" spans="1:1">
      <c r="A1080">
        <v>706982209</v>
      </c>
    </row>
    <row r="1081" spans="1:1">
      <c r="A1081" t="s">
        <v>544</v>
      </c>
    </row>
    <row r="1082" spans="1:1">
      <c r="A1082">
        <v>706982209</v>
      </c>
    </row>
    <row r="1083" spans="1:1">
      <c r="A1083" t="s">
        <v>545</v>
      </c>
    </row>
    <row r="1084" spans="1:1">
      <c r="A1084">
        <v>706982209</v>
      </c>
    </row>
    <row r="1085" spans="1:1">
      <c r="A1085" t="s">
        <v>546</v>
      </c>
    </row>
    <row r="1086" spans="1:1">
      <c r="A1086">
        <v>706982209</v>
      </c>
    </row>
    <row r="1087" spans="1:1">
      <c r="A1087" t="s">
        <v>547</v>
      </c>
    </row>
    <row r="1088" spans="1:1">
      <c r="A1088">
        <v>706982209</v>
      </c>
    </row>
    <row r="1089" spans="1:1">
      <c r="A1089" t="s">
        <v>548</v>
      </c>
    </row>
    <row r="1090" spans="1:1">
      <c r="A1090">
        <v>706982209</v>
      </c>
    </row>
    <row r="1091" spans="1:1">
      <c r="A1091" t="s">
        <v>549</v>
      </c>
    </row>
    <row r="1092" spans="1:1">
      <c r="A1092">
        <v>706982209</v>
      </c>
    </row>
    <row r="1093" spans="1:1">
      <c r="A1093" t="s">
        <v>550</v>
      </c>
    </row>
    <row r="1094" spans="1:1">
      <c r="A1094">
        <v>706982209</v>
      </c>
    </row>
    <row r="1095" spans="1:1">
      <c r="A1095" t="s">
        <v>551</v>
      </c>
    </row>
    <row r="1096" spans="1:1">
      <c r="A1096">
        <v>706982209</v>
      </c>
    </row>
    <row r="1097" spans="1:1">
      <c r="A1097" t="s">
        <v>552</v>
      </c>
    </row>
    <row r="1098" spans="1:1">
      <c r="A1098">
        <v>706982209</v>
      </c>
    </row>
    <row r="1099" spans="1:1">
      <c r="A1099" t="s">
        <v>553</v>
      </c>
    </row>
    <row r="1100" spans="1:1">
      <c r="A1100">
        <v>706982209</v>
      </c>
    </row>
    <row r="1101" spans="1:1">
      <c r="A1101" t="s">
        <v>554</v>
      </c>
    </row>
    <row r="1102" spans="1:1">
      <c r="A1102">
        <v>706982209</v>
      </c>
    </row>
    <row r="1103" spans="1:1">
      <c r="A1103" t="s">
        <v>555</v>
      </c>
    </row>
    <row r="1104" spans="1:1">
      <c r="A1104">
        <v>706982209</v>
      </c>
    </row>
    <row r="1105" spans="1:2">
      <c r="A1105" t="s">
        <v>556</v>
      </c>
    </row>
    <row r="1106" spans="1:2">
      <c r="A1106">
        <v>706982209</v>
      </c>
    </row>
    <row r="1107" spans="1:2">
      <c r="A1107" t="s">
        <v>557</v>
      </c>
    </row>
    <row r="1108" spans="1:2">
      <c r="A1108">
        <v>706982209</v>
      </c>
    </row>
    <row r="1109" spans="1:2">
      <c r="A1109" s="3" t="s">
        <v>558</v>
      </c>
      <c r="B1109" s="1">
        <f>1108/2</f>
        <v>554</v>
      </c>
    </row>
    <row r="1110" spans="1:2">
      <c r="A1110">
        <v>706668477</v>
      </c>
    </row>
    <row r="1111" spans="1:2">
      <c r="A1111" t="s">
        <v>559</v>
      </c>
    </row>
    <row r="1112" spans="1:2">
      <c r="A1112">
        <v>706668477</v>
      </c>
    </row>
    <row r="1113" spans="1:2">
      <c r="A1113" t="s">
        <v>560</v>
      </c>
    </row>
    <row r="1114" spans="1:2">
      <c r="A1114">
        <v>706668477</v>
      </c>
    </row>
    <row r="1115" spans="1:2">
      <c r="A1115" t="s">
        <v>561</v>
      </c>
    </row>
    <row r="1116" spans="1:2">
      <c r="A1116">
        <v>706668477</v>
      </c>
    </row>
    <row r="1117" spans="1:2">
      <c r="A1117" t="s">
        <v>562</v>
      </c>
    </row>
    <row r="1118" spans="1:2">
      <c r="A1118">
        <v>706668477</v>
      </c>
    </row>
    <row r="1119" spans="1:2">
      <c r="A1119" t="s">
        <v>563</v>
      </c>
    </row>
    <row r="1120" spans="1:2">
      <c r="A1120">
        <v>706668477</v>
      </c>
    </row>
    <row r="1121" spans="1:1">
      <c r="A1121" t="s">
        <v>564</v>
      </c>
    </row>
    <row r="1122" spans="1:1">
      <c r="A1122">
        <v>706668477</v>
      </c>
    </row>
    <row r="1123" spans="1:1">
      <c r="A1123" t="s">
        <v>565</v>
      </c>
    </row>
    <row r="1124" spans="1:1">
      <c r="A1124">
        <v>706668477</v>
      </c>
    </row>
    <row r="1125" spans="1:1">
      <c r="A1125" t="s">
        <v>566</v>
      </c>
    </row>
    <row r="1126" spans="1:1">
      <c r="A1126">
        <v>706668477</v>
      </c>
    </row>
    <row r="1127" spans="1:1">
      <c r="A1127" t="s">
        <v>567</v>
      </c>
    </row>
    <row r="1128" spans="1:1">
      <c r="A1128">
        <v>706668477</v>
      </c>
    </row>
    <row r="1129" spans="1:1">
      <c r="A1129" t="s">
        <v>568</v>
      </c>
    </row>
    <row r="1130" spans="1:1">
      <c r="A1130">
        <v>706668477</v>
      </c>
    </row>
    <row r="1131" spans="1:1">
      <c r="A1131" t="s">
        <v>569</v>
      </c>
    </row>
    <row r="1132" spans="1:1">
      <c r="A1132">
        <v>706668477</v>
      </c>
    </row>
    <row r="1133" spans="1:1">
      <c r="A1133" t="s">
        <v>570</v>
      </c>
    </row>
    <row r="1134" spans="1:1">
      <c r="A1134">
        <v>706668477</v>
      </c>
    </row>
    <row r="1135" spans="1:1">
      <c r="A1135" t="s">
        <v>571</v>
      </c>
    </row>
    <row r="1136" spans="1:1">
      <c r="A1136">
        <v>706668477</v>
      </c>
    </row>
    <row r="1137" spans="1:1">
      <c r="A1137" t="s">
        <v>572</v>
      </c>
    </row>
    <row r="1138" spans="1:1">
      <c r="A1138">
        <v>706668477</v>
      </c>
    </row>
    <row r="1139" spans="1:1">
      <c r="A1139" t="s">
        <v>573</v>
      </c>
    </row>
    <row r="1140" spans="1:1">
      <c r="A1140">
        <v>706668477</v>
      </c>
    </row>
    <row r="1141" spans="1:1">
      <c r="A1141" t="s">
        <v>574</v>
      </c>
    </row>
    <row r="1142" spans="1:1">
      <c r="A1142">
        <v>706668477</v>
      </c>
    </row>
    <row r="1143" spans="1:1">
      <c r="A1143" t="s">
        <v>575</v>
      </c>
    </row>
    <row r="1144" spans="1:1">
      <c r="A1144">
        <v>706668477</v>
      </c>
    </row>
    <row r="1145" spans="1:1">
      <c r="A1145" t="s">
        <v>576</v>
      </c>
    </row>
    <row r="1146" spans="1:1">
      <c r="A1146">
        <v>706668477</v>
      </c>
    </row>
    <row r="1147" spans="1:1">
      <c r="A1147" t="s">
        <v>577</v>
      </c>
    </row>
    <row r="1148" spans="1:1">
      <c r="A1148">
        <v>706668477</v>
      </c>
    </row>
    <row r="1149" spans="1:1">
      <c r="A1149" t="s">
        <v>578</v>
      </c>
    </row>
    <row r="1150" spans="1:1">
      <c r="A1150">
        <v>706668477</v>
      </c>
    </row>
    <row r="1151" spans="1:1">
      <c r="A1151" t="s">
        <v>579</v>
      </c>
    </row>
    <row r="1152" spans="1:1">
      <c r="A1152">
        <v>706668477</v>
      </c>
    </row>
    <row r="1153" spans="1:1">
      <c r="A1153" t="s">
        <v>580</v>
      </c>
    </row>
    <row r="1154" spans="1:1">
      <c r="A1154">
        <v>706668477</v>
      </c>
    </row>
    <row r="1155" spans="1:1">
      <c r="A1155" t="s">
        <v>581</v>
      </c>
    </row>
    <row r="1156" spans="1:1">
      <c r="A1156">
        <v>706668477</v>
      </c>
    </row>
    <row r="1157" spans="1:1">
      <c r="A1157" t="s">
        <v>582</v>
      </c>
    </row>
    <row r="1158" spans="1:1">
      <c r="A1158">
        <v>706668477</v>
      </c>
    </row>
    <row r="1159" spans="1:1">
      <c r="A1159" t="s">
        <v>583</v>
      </c>
    </row>
    <row r="1160" spans="1:1">
      <c r="A1160">
        <v>706668477</v>
      </c>
    </row>
    <row r="1161" spans="1:1">
      <c r="A1161" t="s">
        <v>584</v>
      </c>
    </row>
    <row r="1162" spans="1:1">
      <c r="A1162">
        <v>706668477</v>
      </c>
    </row>
    <row r="1163" spans="1:1">
      <c r="A1163" t="s">
        <v>585</v>
      </c>
    </row>
    <row r="1164" spans="1:1">
      <c r="A1164">
        <v>706668477</v>
      </c>
    </row>
    <row r="1165" spans="1:1">
      <c r="A1165" t="s">
        <v>586</v>
      </c>
    </row>
    <row r="1166" spans="1:1">
      <c r="A1166">
        <v>706668477</v>
      </c>
    </row>
    <row r="1167" spans="1:1">
      <c r="A1167" t="s">
        <v>587</v>
      </c>
    </row>
    <row r="1168" spans="1:1">
      <c r="A1168">
        <v>706668477</v>
      </c>
    </row>
    <row r="1169" spans="1:1">
      <c r="A1169" t="s">
        <v>588</v>
      </c>
    </row>
    <row r="1170" spans="1:1">
      <c r="A1170">
        <v>706668477</v>
      </c>
    </row>
    <row r="1171" spans="1:1">
      <c r="A1171" t="s">
        <v>589</v>
      </c>
    </row>
    <row r="1172" spans="1:1">
      <c r="A1172">
        <v>706668477</v>
      </c>
    </row>
    <row r="1173" spans="1:1">
      <c r="A1173" t="s">
        <v>590</v>
      </c>
    </row>
    <row r="1174" spans="1:1">
      <c r="A1174">
        <v>706668477</v>
      </c>
    </row>
    <row r="1175" spans="1:1">
      <c r="A1175" t="s">
        <v>591</v>
      </c>
    </row>
    <row r="1176" spans="1:1">
      <c r="A1176">
        <v>706668477</v>
      </c>
    </row>
    <row r="1177" spans="1:1">
      <c r="A1177" t="s">
        <v>592</v>
      </c>
    </row>
    <row r="1178" spans="1:1">
      <c r="A1178">
        <v>706668477</v>
      </c>
    </row>
    <row r="1179" spans="1:1">
      <c r="A1179" t="s">
        <v>593</v>
      </c>
    </row>
    <row r="1180" spans="1:1">
      <c r="A1180">
        <v>706668477</v>
      </c>
    </row>
    <row r="1181" spans="1:1">
      <c r="A1181" t="s">
        <v>594</v>
      </c>
    </row>
    <row r="1182" spans="1:1">
      <c r="A1182">
        <v>706668477</v>
      </c>
    </row>
    <row r="1183" spans="1:1">
      <c r="A1183" t="s">
        <v>595</v>
      </c>
    </row>
    <row r="1184" spans="1:1">
      <c r="A1184">
        <v>706668477</v>
      </c>
    </row>
    <row r="1185" spans="1:1">
      <c r="A1185" t="s">
        <v>596</v>
      </c>
    </row>
    <row r="1186" spans="1:1">
      <c r="A1186">
        <v>706668477</v>
      </c>
    </row>
    <row r="1187" spans="1:1">
      <c r="A1187" t="s">
        <v>597</v>
      </c>
    </row>
    <row r="1188" spans="1:1">
      <c r="A1188">
        <v>706668477</v>
      </c>
    </row>
    <row r="1189" spans="1:1">
      <c r="A1189" t="s">
        <v>598</v>
      </c>
    </row>
    <row r="1190" spans="1:1">
      <c r="A1190">
        <v>706668477</v>
      </c>
    </row>
    <row r="1191" spans="1:1">
      <c r="A1191" t="s">
        <v>599</v>
      </c>
    </row>
    <row r="1192" spans="1:1">
      <c r="A1192">
        <v>706668477</v>
      </c>
    </row>
    <row r="1193" spans="1:1">
      <c r="A1193" t="s">
        <v>600</v>
      </c>
    </row>
    <row r="1194" spans="1:1">
      <c r="A1194">
        <v>706668477</v>
      </c>
    </row>
    <row r="1195" spans="1:1">
      <c r="A1195" t="s">
        <v>601</v>
      </c>
    </row>
    <row r="1196" spans="1:1">
      <c r="A1196">
        <v>706668477</v>
      </c>
    </row>
    <row r="1197" spans="1:1">
      <c r="A1197" t="s">
        <v>602</v>
      </c>
    </row>
    <row r="1198" spans="1:1">
      <c r="A1198">
        <v>706668477</v>
      </c>
    </row>
    <row r="1199" spans="1:1">
      <c r="A1199" t="s">
        <v>603</v>
      </c>
    </row>
    <row r="1200" spans="1:1">
      <c r="A1200">
        <v>706668477</v>
      </c>
    </row>
    <row r="1201" spans="1:1">
      <c r="A1201" t="s">
        <v>604</v>
      </c>
    </row>
    <row r="1202" spans="1:1">
      <c r="A1202">
        <v>706668477</v>
      </c>
    </row>
    <row r="1203" spans="1:1">
      <c r="A1203" t="s">
        <v>605</v>
      </c>
    </row>
    <row r="1204" spans="1:1">
      <c r="A1204">
        <v>706668477</v>
      </c>
    </row>
    <row r="1205" spans="1:1">
      <c r="A1205" t="s">
        <v>606</v>
      </c>
    </row>
    <row r="1206" spans="1:1">
      <c r="A1206">
        <v>706668477</v>
      </c>
    </row>
    <row r="1207" spans="1:1">
      <c r="A1207" t="s">
        <v>607</v>
      </c>
    </row>
    <row r="1208" spans="1:1">
      <c r="A1208">
        <v>706668477</v>
      </c>
    </row>
    <row r="1209" spans="1:1">
      <c r="A1209" t="s">
        <v>608</v>
      </c>
    </row>
    <row r="1210" spans="1:1">
      <c r="A1210">
        <v>706668477</v>
      </c>
    </row>
    <row r="1211" spans="1:1">
      <c r="A1211" t="s">
        <v>609</v>
      </c>
    </row>
    <row r="1212" spans="1:1">
      <c r="A1212">
        <v>706668477</v>
      </c>
    </row>
    <row r="1213" spans="1:1">
      <c r="A1213" t="s">
        <v>610</v>
      </c>
    </row>
    <row r="1214" spans="1:1">
      <c r="A1214">
        <v>706668477</v>
      </c>
    </row>
    <row r="1215" spans="1:1">
      <c r="A1215" t="s">
        <v>611</v>
      </c>
    </row>
    <row r="1216" spans="1:1">
      <c r="A1216">
        <v>706668477</v>
      </c>
    </row>
    <row r="1217" spans="1:1">
      <c r="A1217" t="s">
        <v>612</v>
      </c>
    </row>
    <row r="1218" spans="1:1">
      <c r="A1218">
        <v>706668477</v>
      </c>
    </row>
    <row r="1219" spans="1:1">
      <c r="A1219" t="s">
        <v>613</v>
      </c>
    </row>
    <row r="1220" spans="1:1">
      <c r="A1220">
        <v>706668477</v>
      </c>
    </row>
    <row r="1221" spans="1:1">
      <c r="A1221" t="s">
        <v>614</v>
      </c>
    </row>
    <row r="1222" spans="1:1">
      <c r="A1222">
        <v>706668477</v>
      </c>
    </row>
    <row r="1223" spans="1:1">
      <c r="A1223" t="s">
        <v>615</v>
      </c>
    </row>
    <row r="1224" spans="1:1">
      <c r="A1224">
        <v>706668477</v>
      </c>
    </row>
    <row r="1225" spans="1:1">
      <c r="A1225" t="s">
        <v>616</v>
      </c>
    </row>
    <row r="1226" spans="1:1">
      <c r="A1226">
        <v>706668477</v>
      </c>
    </row>
    <row r="1227" spans="1:1">
      <c r="A1227" t="s">
        <v>617</v>
      </c>
    </row>
    <row r="1228" spans="1:1">
      <c r="A1228">
        <v>706668477</v>
      </c>
    </row>
    <row r="1229" spans="1:1">
      <c r="A1229" t="s">
        <v>618</v>
      </c>
    </row>
    <row r="1230" spans="1:1">
      <c r="A1230">
        <v>706668477</v>
      </c>
    </row>
    <row r="1231" spans="1:1">
      <c r="A1231" t="s">
        <v>619</v>
      </c>
    </row>
    <row r="1232" spans="1:1">
      <c r="A1232">
        <v>706668477</v>
      </c>
    </row>
    <row r="1233" spans="1:1">
      <c r="A1233" t="s">
        <v>620</v>
      </c>
    </row>
    <row r="1234" spans="1:1">
      <c r="A1234">
        <v>706668477</v>
      </c>
    </row>
    <row r="1235" spans="1:1">
      <c r="A1235" t="s">
        <v>621</v>
      </c>
    </row>
    <row r="1236" spans="1:1">
      <c r="A1236">
        <v>706668477</v>
      </c>
    </row>
    <row r="1237" spans="1:1">
      <c r="A1237" t="s">
        <v>622</v>
      </c>
    </row>
    <row r="1238" spans="1:1">
      <c r="A1238">
        <v>706668477</v>
      </c>
    </row>
    <row r="1239" spans="1:1">
      <c r="A1239" t="s">
        <v>623</v>
      </c>
    </row>
    <row r="1240" spans="1:1">
      <c r="A1240">
        <v>706668477</v>
      </c>
    </row>
    <row r="1241" spans="1:1">
      <c r="A1241" t="s">
        <v>624</v>
      </c>
    </row>
    <row r="1242" spans="1:1">
      <c r="A1242">
        <v>706668477</v>
      </c>
    </row>
    <row r="1243" spans="1:1">
      <c r="A1243" t="s">
        <v>625</v>
      </c>
    </row>
    <row r="1244" spans="1:1">
      <c r="A1244">
        <v>706668477</v>
      </c>
    </row>
    <row r="1245" spans="1:1">
      <c r="A1245" t="s">
        <v>626</v>
      </c>
    </row>
    <row r="1246" spans="1:1">
      <c r="A1246">
        <v>706668477</v>
      </c>
    </row>
    <row r="1247" spans="1:1">
      <c r="A1247" t="s">
        <v>627</v>
      </c>
    </row>
    <row r="1248" spans="1:1">
      <c r="A1248">
        <v>706668477</v>
      </c>
    </row>
    <row r="1249" spans="1:2">
      <c r="A1249" t="s">
        <v>628</v>
      </c>
    </row>
    <row r="1250" spans="1:2">
      <c r="A1250">
        <v>706668477</v>
      </c>
    </row>
    <row r="1251" spans="1:2">
      <c r="A1251" t="s">
        <v>629</v>
      </c>
    </row>
    <row r="1252" spans="1:2">
      <c r="A1252">
        <v>706668477</v>
      </c>
    </row>
    <row r="1253" spans="1:2">
      <c r="A1253" t="s">
        <v>630</v>
      </c>
    </row>
    <row r="1254" spans="1:2">
      <c r="A1254">
        <v>706668477</v>
      </c>
    </row>
    <row r="1255" spans="1:2">
      <c r="A1255" t="s">
        <v>631</v>
      </c>
    </row>
    <row r="1256" spans="1:2">
      <c r="A1256">
        <v>706668477</v>
      </c>
    </row>
    <row r="1257" spans="1:2">
      <c r="A1257" s="3" t="s">
        <v>632</v>
      </c>
      <c r="B1257" s="1">
        <f>1256/2</f>
        <v>628</v>
      </c>
    </row>
    <row r="1258" spans="1:2">
      <c r="A1258">
        <v>706668477</v>
      </c>
    </row>
    <row r="1259" spans="1:2">
      <c r="A1259" t="s">
        <v>633</v>
      </c>
    </row>
    <row r="1260" spans="1:2">
      <c r="A1260">
        <v>706668477</v>
      </c>
    </row>
    <row r="1261" spans="1:2">
      <c r="A1261" t="s">
        <v>634</v>
      </c>
    </row>
    <row r="1262" spans="1:2">
      <c r="A1262">
        <v>706668477</v>
      </c>
    </row>
    <row r="1263" spans="1:2">
      <c r="A1263" t="s">
        <v>635</v>
      </c>
    </row>
    <row r="1264" spans="1:2">
      <c r="A1264">
        <v>706668477</v>
      </c>
    </row>
    <row r="1265" spans="1:1">
      <c r="A1265" t="s">
        <v>636</v>
      </c>
    </row>
    <row r="1266" spans="1:1">
      <c r="A1266">
        <v>706668477</v>
      </c>
    </row>
    <row r="1267" spans="1:1">
      <c r="A1267" t="s">
        <v>637</v>
      </c>
    </row>
    <row r="1268" spans="1:1">
      <c r="A1268">
        <v>706668477</v>
      </c>
    </row>
    <row r="1269" spans="1:1">
      <c r="A1269" t="s">
        <v>638</v>
      </c>
    </row>
    <row r="1270" spans="1:1">
      <c r="A1270">
        <v>706668477</v>
      </c>
    </row>
    <row r="1271" spans="1:1">
      <c r="A1271" t="s">
        <v>639</v>
      </c>
    </row>
    <row r="1272" spans="1:1">
      <c r="A1272">
        <v>706668477</v>
      </c>
    </row>
    <row r="1273" spans="1:1">
      <c r="A1273" t="s">
        <v>640</v>
      </c>
    </row>
    <row r="1274" spans="1:1">
      <c r="A1274">
        <v>706668477</v>
      </c>
    </row>
    <row r="1275" spans="1:1">
      <c r="A1275" t="s">
        <v>641</v>
      </c>
    </row>
    <row r="1276" spans="1:1">
      <c r="A1276">
        <v>706668477</v>
      </c>
    </row>
    <row r="1277" spans="1:1">
      <c r="A1277" t="s">
        <v>642</v>
      </c>
    </row>
    <row r="1278" spans="1:1">
      <c r="A1278">
        <v>706668477</v>
      </c>
    </row>
    <row r="1279" spans="1:1">
      <c r="A1279" t="s">
        <v>643</v>
      </c>
    </row>
    <row r="1280" spans="1:1">
      <c r="A1280">
        <v>706668477</v>
      </c>
    </row>
    <row r="1281" spans="1:2">
      <c r="A1281" t="s">
        <v>644</v>
      </c>
    </row>
    <row r="1282" spans="1:2">
      <c r="A1282">
        <v>706668477</v>
      </c>
    </row>
    <row r="1283" spans="1:2">
      <c r="A1283" s="3" t="s">
        <v>645</v>
      </c>
      <c r="B1283" s="1">
        <f>1282/2</f>
        <v>641</v>
      </c>
    </row>
    <row r="1284" spans="1:2">
      <c r="A1284">
        <v>706318925</v>
      </c>
    </row>
    <row r="1285" spans="1:2">
      <c r="A1285" t="s">
        <v>646</v>
      </c>
    </row>
    <row r="1286" spans="1:2">
      <c r="A1286">
        <v>706318925</v>
      </c>
    </row>
    <row r="1287" spans="1:2">
      <c r="A1287" t="s">
        <v>647</v>
      </c>
    </row>
    <row r="1288" spans="1:2">
      <c r="A1288">
        <v>706318925</v>
      </c>
    </row>
    <row r="1289" spans="1:2">
      <c r="A1289" t="s">
        <v>648</v>
      </c>
    </row>
    <row r="1290" spans="1:2">
      <c r="A1290">
        <v>706318925</v>
      </c>
    </row>
    <row r="1291" spans="1:2">
      <c r="A1291" t="s">
        <v>649</v>
      </c>
    </row>
    <row r="1292" spans="1:2">
      <c r="A1292">
        <v>706318925</v>
      </c>
    </row>
    <row r="1293" spans="1:2">
      <c r="A1293" t="s">
        <v>650</v>
      </c>
    </row>
    <row r="1294" spans="1:2">
      <c r="A1294">
        <v>706318925</v>
      </c>
    </row>
    <row r="1295" spans="1:2">
      <c r="A1295" t="s">
        <v>651</v>
      </c>
    </row>
    <row r="1296" spans="1:2">
      <c r="A1296">
        <v>706318925</v>
      </c>
    </row>
    <row r="1297" spans="1:2">
      <c r="A1297" t="s">
        <v>652</v>
      </c>
    </row>
    <row r="1298" spans="1:2">
      <c r="A1298">
        <v>706318925</v>
      </c>
    </row>
    <row r="1299" spans="1:2">
      <c r="A1299" t="s">
        <v>653</v>
      </c>
    </row>
    <row r="1300" spans="1:2">
      <c r="A1300">
        <v>706318925</v>
      </c>
    </row>
    <row r="1301" spans="1:2">
      <c r="A1301" t="s">
        <v>654</v>
      </c>
    </row>
    <row r="1302" spans="1:2">
      <c r="A1302">
        <v>706318925</v>
      </c>
    </row>
    <row r="1303" spans="1:2">
      <c r="A1303" s="3" t="s">
        <v>655</v>
      </c>
      <c r="B1303" s="1">
        <f>1302/2</f>
        <v>651</v>
      </c>
    </row>
    <row r="1304" spans="1:2">
      <c r="A1304">
        <v>706318925</v>
      </c>
    </row>
    <row r="1305" spans="1:2">
      <c r="A1305" t="s">
        <v>656</v>
      </c>
    </row>
    <row r="1306" spans="1:2">
      <c r="A1306">
        <v>706318925</v>
      </c>
    </row>
    <row r="1307" spans="1:2">
      <c r="A1307" t="s">
        <v>657</v>
      </c>
    </row>
    <row r="1308" spans="1:2">
      <c r="A1308">
        <v>706318925</v>
      </c>
    </row>
    <row r="1309" spans="1:2">
      <c r="A1309" t="s">
        <v>658</v>
      </c>
    </row>
    <row r="1310" spans="1:2">
      <c r="A1310">
        <v>706318925</v>
      </c>
    </row>
    <row r="1311" spans="1:2">
      <c r="A1311" t="s">
        <v>659</v>
      </c>
    </row>
    <row r="1312" spans="1:2">
      <c r="A1312">
        <v>706318925</v>
      </c>
    </row>
    <row r="1313" spans="1:1">
      <c r="A1313" t="s">
        <v>660</v>
      </c>
    </row>
    <row r="1314" spans="1:1">
      <c r="A1314">
        <v>706318925</v>
      </c>
    </row>
    <row r="1315" spans="1:1">
      <c r="A1315" t="s">
        <v>661</v>
      </c>
    </row>
    <row r="1316" spans="1:1">
      <c r="A1316">
        <v>706318925</v>
      </c>
    </row>
    <row r="1317" spans="1:1">
      <c r="A1317" t="s">
        <v>662</v>
      </c>
    </row>
    <row r="1318" spans="1:1">
      <c r="A1318">
        <v>706318925</v>
      </c>
    </row>
    <row r="1319" spans="1:1">
      <c r="A1319" t="s">
        <v>663</v>
      </c>
    </row>
    <row r="1320" spans="1:1">
      <c r="A1320">
        <v>706318925</v>
      </c>
    </row>
    <row r="1321" spans="1:1">
      <c r="A1321" t="s">
        <v>664</v>
      </c>
    </row>
    <row r="1322" spans="1:1">
      <c r="A1322">
        <v>706318925</v>
      </c>
    </row>
    <row r="1323" spans="1:1">
      <c r="A1323" t="s">
        <v>665</v>
      </c>
    </row>
    <row r="1324" spans="1:1">
      <c r="A1324">
        <v>706318925</v>
      </c>
    </row>
    <row r="1325" spans="1:1">
      <c r="A1325" t="s">
        <v>666</v>
      </c>
    </row>
    <row r="1326" spans="1:1">
      <c r="A1326">
        <v>706318925</v>
      </c>
    </row>
    <row r="1327" spans="1:1">
      <c r="A1327" t="s">
        <v>667</v>
      </c>
    </row>
    <row r="1328" spans="1:1">
      <c r="A1328">
        <v>706318925</v>
      </c>
    </row>
    <row r="1329" spans="1:2">
      <c r="A1329" t="s">
        <v>668</v>
      </c>
    </row>
    <row r="1330" spans="1:2">
      <c r="A1330">
        <v>706318925</v>
      </c>
    </row>
    <row r="1331" spans="1:2">
      <c r="A1331" t="s">
        <v>669</v>
      </c>
    </row>
    <row r="1332" spans="1:2">
      <c r="A1332">
        <v>706318925</v>
      </c>
    </row>
    <row r="1333" spans="1:2">
      <c r="A1333" t="s">
        <v>670</v>
      </c>
    </row>
    <row r="1334" spans="1:2">
      <c r="A1334">
        <v>706318925</v>
      </c>
    </row>
    <row r="1335" spans="1:2">
      <c r="A1335" t="s">
        <v>671</v>
      </c>
    </row>
    <row r="1336" spans="1:2">
      <c r="A1336">
        <v>706318925</v>
      </c>
    </row>
    <row r="1337" spans="1:2">
      <c r="A1337" t="s">
        <v>672</v>
      </c>
    </row>
    <row r="1338" spans="1:2">
      <c r="A1338">
        <v>706318925</v>
      </c>
    </row>
    <row r="1339" spans="1:2">
      <c r="A1339" t="s">
        <v>673</v>
      </c>
    </row>
    <row r="1340" spans="1:2">
      <c r="A1340">
        <v>706318925</v>
      </c>
    </row>
    <row r="1341" spans="1:2">
      <c r="A1341" t="s">
        <v>674</v>
      </c>
    </row>
    <row r="1342" spans="1:2">
      <c r="A1342">
        <v>706318925</v>
      </c>
    </row>
    <row r="1343" spans="1:2">
      <c r="A1343" s="3" t="s">
        <v>675</v>
      </c>
      <c r="B1343" s="1">
        <f>1342/2</f>
        <v>671</v>
      </c>
    </row>
    <row r="1344" spans="1:2">
      <c r="A1344">
        <v>706982209</v>
      </c>
    </row>
    <row r="1345" spans="1:1">
      <c r="A1345" t="s">
        <v>676</v>
      </c>
    </row>
    <row r="1346" spans="1:1">
      <c r="A1346">
        <v>706982209</v>
      </c>
    </row>
    <row r="1347" spans="1:1">
      <c r="A1347" t="s">
        <v>677</v>
      </c>
    </row>
    <row r="1348" spans="1:1">
      <c r="A1348">
        <v>706982209</v>
      </c>
    </row>
    <row r="1349" spans="1:1">
      <c r="A1349" t="s">
        <v>678</v>
      </c>
    </row>
    <row r="1350" spans="1:1">
      <c r="A1350">
        <v>706982209</v>
      </c>
    </row>
    <row r="1351" spans="1:1">
      <c r="A1351" t="s">
        <v>679</v>
      </c>
    </row>
    <row r="1352" spans="1:1">
      <c r="A1352">
        <v>706982209</v>
      </c>
    </row>
    <row r="1353" spans="1:1">
      <c r="A1353" t="s">
        <v>680</v>
      </c>
    </row>
    <row r="1354" spans="1:1">
      <c r="A1354">
        <v>706982209</v>
      </c>
    </row>
    <row r="1355" spans="1:1">
      <c r="A1355" t="s">
        <v>681</v>
      </c>
    </row>
    <row r="1356" spans="1:1">
      <c r="A1356">
        <v>706982209</v>
      </c>
    </row>
    <row r="1357" spans="1:1">
      <c r="A1357" t="s">
        <v>682</v>
      </c>
    </row>
    <row r="1358" spans="1:1">
      <c r="A1358">
        <v>706982209</v>
      </c>
    </row>
    <row r="1359" spans="1:1">
      <c r="A1359" t="s">
        <v>683</v>
      </c>
    </row>
    <row r="1360" spans="1:1">
      <c r="A1360">
        <v>706982209</v>
      </c>
    </row>
    <row r="1361" spans="1:1">
      <c r="A1361" t="s">
        <v>684</v>
      </c>
    </row>
    <row r="1362" spans="1:1">
      <c r="A1362">
        <v>706982209</v>
      </c>
    </row>
    <row r="1363" spans="1:1">
      <c r="A1363" t="s">
        <v>685</v>
      </c>
    </row>
    <row r="1364" spans="1:1">
      <c r="A1364">
        <v>706982209</v>
      </c>
    </row>
    <row r="1365" spans="1:1">
      <c r="A1365" t="s">
        <v>686</v>
      </c>
    </row>
    <row r="1366" spans="1:1">
      <c r="A1366">
        <v>706982209</v>
      </c>
    </row>
    <row r="1367" spans="1:1">
      <c r="A1367" t="s">
        <v>687</v>
      </c>
    </row>
    <row r="1368" spans="1:1">
      <c r="A1368">
        <v>706982209</v>
      </c>
    </row>
    <row r="1369" spans="1:1">
      <c r="A1369" t="s">
        <v>688</v>
      </c>
    </row>
    <row r="1370" spans="1:1">
      <c r="A1370">
        <v>706982209</v>
      </c>
    </row>
    <row r="1371" spans="1:1">
      <c r="A1371" t="s">
        <v>689</v>
      </c>
    </row>
    <row r="1372" spans="1:1">
      <c r="A1372">
        <v>706982209</v>
      </c>
    </row>
    <row r="1373" spans="1:1">
      <c r="A1373" t="s">
        <v>690</v>
      </c>
    </row>
    <row r="1374" spans="1:1">
      <c r="A1374">
        <v>706982209</v>
      </c>
    </row>
    <row r="1375" spans="1:1">
      <c r="A1375" t="s">
        <v>691</v>
      </c>
    </row>
    <row r="1376" spans="1:1">
      <c r="A1376">
        <v>706982209</v>
      </c>
    </row>
    <row r="1377" spans="1:2">
      <c r="A1377" t="s">
        <v>692</v>
      </c>
    </row>
    <row r="1378" spans="1:2">
      <c r="A1378">
        <v>706982209</v>
      </c>
    </row>
    <row r="1379" spans="1:2">
      <c r="A1379" t="s">
        <v>693</v>
      </c>
    </row>
    <row r="1380" spans="1:2">
      <c r="A1380">
        <v>706982209</v>
      </c>
    </row>
    <row r="1381" spans="1:2">
      <c r="A1381" t="s">
        <v>694</v>
      </c>
    </row>
    <row r="1382" spans="1:2">
      <c r="A1382">
        <v>706982209</v>
      </c>
    </row>
    <row r="1383" spans="1:2">
      <c r="A1383" s="3" t="s">
        <v>695</v>
      </c>
      <c r="B1383" s="1">
        <f>1382/2</f>
        <v>691</v>
      </c>
    </row>
    <row r="1384" spans="1:2">
      <c r="A1384">
        <v>706668477</v>
      </c>
    </row>
    <row r="1385" spans="1:2">
      <c r="A1385" t="s">
        <v>696</v>
      </c>
    </row>
    <row r="1386" spans="1:2">
      <c r="A1386">
        <v>706668477</v>
      </c>
    </row>
    <row r="1387" spans="1:2">
      <c r="A1387" t="s">
        <v>697</v>
      </c>
    </row>
    <row r="1388" spans="1:2">
      <c r="A1388">
        <v>706668477</v>
      </c>
    </row>
    <row r="1389" spans="1:2">
      <c r="A1389" t="s">
        <v>698</v>
      </c>
    </row>
    <row r="1390" spans="1:2">
      <c r="A1390">
        <v>706668477</v>
      </c>
    </row>
    <row r="1391" spans="1:2">
      <c r="A1391" t="s">
        <v>699</v>
      </c>
    </row>
    <row r="1392" spans="1:2">
      <c r="A1392">
        <v>706668477</v>
      </c>
    </row>
    <row r="1393" spans="1:1">
      <c r="A1393" t="s">
        <v>700</v>
      </c>
    </row>
    <row r="1394" spans="1:1">
      <c r="A1394">
        <v>706668477</v>
      </c>
    </row>
    <row r="1395" spans="1:1">
      <c r="A1395" t="s">
        <v>701</v>
      </c>
    </row>
    <row r="1396" spans="1:1">
      <c r="A1396">
        <v>706668477</v>
      </c>
    </row>
    <row r="1397" spans="1:1">
      <c r="A1397" t="s">
        <v>702</v>
      </c>
    </row>
    <row r="1398" spans="1:1">
      <c r="A1398">
        <v>706668477</v>
      </c>
    </row>
    <row r="1399" spans="1:1">
      <c r="A1399" t="s">
        <v>703</v>
      </c>
    </row>
    <row r="1400" spans="1:1">
      <c r="A1400">
        <v>706668477</v>
      </c>
    </row>
    <row r="1401" spans="1:1">
      <c r="A1401" t="s">
        <v>704</v>
      </c>
    </row>
    <row r="1402" spans="1:1">
      <c r="A1402">
        <v>706668477</v>
      </c>
    </row>
    <row r="1403" spans="1:1">
      <c r="A1403" t="s">
        <v>705</v>
      </c>
    </row>
    <row r="1404" spans="1:1">
      <c r="A1404">
        <v>706668477</v>
      </c>
    </row>
    <row r="1405" spans="1:1">
      <c r="A1405" t="s">
        <v>706</v>
      </c>
    </row>
    <row r="1406" spans="1:1">
      <c r="A1406">
        <v>706668477</v>
      </c>
    </row>
    <row r="1407" spans="1:1">
      <c r="A1407" t="s">
        <v>707</v>
      </c>
    </row>
    <row r="1408" spans="1:1">
      <c r="A1408">
        <v>706668477</v>
      </c>
    </row>
    <row r="1409" spans="1:1">
      <c r="A1409" t="s">
        <v>708</v>
      </c>
    </row>
    <row r="1410" spans="1:1">
      <c r="A1410">
        <v>706668477</v>
      </c>
    </row>
    <row r="1411" spans="1:1">
      <c r="A1411" t="s">
        <v>709</v>
      </c>
    </row>
    <row r="1412" spans="1:1">
      <c r="A1412">
        <v>706668477</v>
      </c>
    </row>
    <row r="1413" spans="1:1">
      <c r="A1413" t="s">
        <v>710</v>
      </c>
    </row>
    <row r="1414" spans="1:1">
      <c r="A1414">
        <v>706668477</v>
      </c>
    </row>
    <row r="1415" spans="1:1">
      <c r="A1415" t="s">
        <v>711</v>
      </c>
    </row>
    <row r="1416" spans="1:1">
      <c r="A1416">
        <v>706668477</v>
      </c>
    </row>
    <row r="1417" spans="1:1">
      <c r="A1417" t="s">
        <v>712</v>
      </c>
    </row>
    <row r="1418" spans="1:1">
      <c r="A1418">
        <v>706668477</v>
      </c>
    </row>
    <row r="1419" spans="1:1">
      <c r="A1419" t="s">
        <v>713</v>
      </c>
    </row>
    <row r="1420" spans="1:1">
      <c r="A1420">
        <v>706668477</v>
      </c>
    </row>
    <row r="1421" spans="1:1">
      <c r="A1421" t="s">
        <v>714</v>
      </c>
    </row>
    <row r="1422" spans="1:1">
      <c r="A1422">
        <v>706668477</v>
      </c>
    </row>
    <row r="1423" spans="1:1">
      <c r="A1423" t="s">
        <v>715</v>
      </c>
    </row>
    <row r="1424" spans="1:1">
      <c r="A1424">
        <v>706668477</v>
      </c>
    </row>
    <row r="1425" spans="1:2">
      <c r="A1425" t="s">
        <v>716</v>
      </c>
    </row>
    <row r="1426" spans="1:2">
      <c r="A1426">
        <v>706668477</v>
      </c>
    </row>
    <row r="1427" spans="1:2">
      <c r="A1427" t="s">
        <v>717</v>
      </c>
    </row>
    <row r="1428" spans="1:2">
      <c r="A1428">
        <v>706668477</v>
      </c>
    </row>
    <row r="1429" spans="1:2">
      <c r="A1429" t="s">
        <v>718</v>
      </c>
    </row>
    <row r="1430" spans="1:2">
      <c r="A1430">
        <v>706668477</v>
      </c>
    </row>
    <row r="1431" spans="1:2">
      <c r="A1431" s="3" t="s">
        <v>719</v>
      </c>
      <c r="B1431" s="1">
        <f>1430/2</f>
        <v>715</v>
      </c>
    </row>
    <row r="1432" spans="1:2">
      <c r="A1432">
        <v>706253015</v>
      </c>
    </row>
    <row r="1433" spans="1:2">
      <c r="A1433" t="s">
        <v>720</v>
      </c>
    </row>
    <row r="1434" spans="1:2">
      <c r="A1434">
        <v>707691288</v>
      </c>
    </row>
    <row r="1435" spans="1:2">
      <c r="A1435" t="s">
        <v>721</v>
      </c>
    </row>
    <row r="1436" spans="1:2">
      <c r="A1436">
        <v>705146756</v>
      </c>
    </row>
    <row r="1437" spans="1:2">
      <c r="A1437" t="s">
        <v>722</v>
      </c>
    </row>
    <row r="1438" spans="1:2">
      <c r="A1438">
        <v>706253015</v>
      </c>
    </row>
    <row r="1439" spans="1:2">
      <c r="A1439" t="s">
        <v>723</v>
      </c>
    </row>
    <row r="1440" spans="1:2">
      <c r="A1440">
        <v>706253015</v>
      </c>
    </row>
    <row r="1441" spans="1:3">
      <c r="A1441" t="s">
        <v>724</v>
      </c>
    </row>
    <row r="1442" spans="1:3">
      <c r="A1442">
        <v>705148505</v>
      </c>
    </row>
    <row r="1443" spans="1:3">
      <c r="A1443" t="s">
        <v>725</v>
      </c>
    </row>
    <row r="1444" spans="1:3">
      <c r="A1444">
        <v>706253015</v>
      </c>
    </row>
    <row r="1445" spans="1:3">
      <c r="A1445" t="s">
        <v>726</v>
      </c>
    </row>
    <row r="1446" spans="1:3">
      <c r="A1446">
        <v>705146756</v>
      </c>
    </row>
    <row r="1447" spans="1:3">
      <c r="A1447" s="3" t="s">
        <v>727</v>
      </c>
      <c r="B1447" s="4">
        <f>1446/2</f>
        <v>723</v>
      </c>
      <c r="C1447" s="4" t="s">
        <v>728</v>
      </c>
    </row>
    <row r="1448" spans="1:3">
      <c r="A1448">
        <v>706395964</v>
      </c>
    </row>
    <row r="1449" spans="1:3">
      <c r="A1449" t="s">
        <v>729</v>
      </c>
    </row>
    <row r="1450" spans="1:3">
      <c r="A1450">
        <v>707935719</v>
      </c>
    </row>
    <row r="1451" spans="1:3">
      <c r="A1451" t="s">
        <v>730</v>
      </c>
    </row>
    <row r="1452" spans="1:3">
      <c r="A1452">
        <v>707935719</v>
      </c>
    </row>
    <row r="1453" spans="1:3">
      <c r="A1453" t="s">
        <v>731</v>
      </c>
    </row>
    <row r="1454" spans="1:3">
      <c r="A1454">
        <v>706395964</v>
      </c>
    </row>
    <row r="1455" spans="1:3">
      <c r="A1455" t="s">
        <v>732</v>
      </c>
    </row>
    <row r="1456" spans="1:3">
      <c r="A1456">
        <v>705150097</v>
      </c>
    </row>
    <row r="1457" spans="1:1">
      <c r="A1457" t="s">
        <v>733</v>
      </c>
    </row>
    <row r="1458" spans="1:1">
      <c r="A1458">
        <v>703603808</v>
      </c>
    </row>
    <row r="1459" spans="1:1">
      <c r="A1459" t="s">
        <v>734</v>
      </c>
    </row>
    <row r="1460" spans="1:1">
      <c r="A1460">
        <v>705150097</v>
      </c>
    </row>
    <row r="1461" spans="1:1">
      <c r="A1461" t="s">
        <v>735</v>
      </c>
    </row>
    <row r="1462" spans="1:1">
      <c r="A1462">
        <v>703603808</v>
      </c>
    </row>
    <row r="1463" spans="1:1">
      <c r="A1463" t="s">
        <v>736</v>
      </c>
    </row>
    <row r="1464" spans="1:1">
      <c r="A1464">
        <v>706295032</v>
      </c>
    </row>
    <row r="1465" spans="1:1">
      <c r="A1465" t="s">
        <v>737</v>
      </c>
    </row>
    <row r="1466" spans="1:1">
      <c r="A1466">
        <v>706207136</v>
      </c>
    </row>
    <row r="1467" spans="1:1">
      <c r="A1467" t="s">
        <v>738</v>
      </c>
    </row>
    <row r="1468" spans="1:1">
      <c r="A1468">
        <v>706207136</v>
      </c>
    </row>
    <row r="1469" spans="1:1">
      <c r="A1469" t="s">
        <v>739</v>
      </c>
    </row>
    <row r="1470" spans="1:1">
      <c r="A1470">
        <v>706207136</v>
      </c>
    </row>
    <row r="1471" spans="1:1">
      <c r="A1471" t="s">
        <v>740</v>
      </c>
    </row>
    <row r="1472" spans="1:1">
      <c r="A1472">
        <v>705183759</v>
      </c>
    </row>
    <row r="1473" spans="1:2">
      <c r="A1473" t="s">
        <v>741</v>
      </c>
    </row>
    <row r="1474" spans="1:2">
      <c r="A1474">
        <v>705183759</v>
      </c>
    </row>
    <row r="1475" spans="1:2">
      <c r="A1475" t="s">
        <v>742</v>
      </c>
    </row>
    <row r="1476" spans="1:2">
      <c r="A1476">
        <v>706295032</v>
      </c>
    </row>
    <row r="1477" spans="1:2">
      <c r="A1477" s="3" t="s">
        <v>743</v>
      </c>
      <c r="B1477" s="1">
        <f>1476/2</f>
        <v>738</v>
      </c>
    </row>
    <row r="1478" spans="1:2">
      <c r="A1478">
        <v>705487754</v>
      </c>
    </row>
    <row r="1479" spans="1:2">
      <c r="A1479" t="s">
        <v>744</v>
      </c>
    </row>
    <row r="1480" spans="1:2">
      <c r="A1480">
        <v>705487754</v>
      </c>
    </row>
    <row r="1481" spans="1:2">
      <c r="A1481" t="s">
        <v>745</v>
      </c>
    </row>
    <row r="1482" spans="1:2">
      <c r="A1482">
        <v>705487754</v>
      </c>
    </row>
    <row r="1483" spans="1:2">
      <c r="A1483" t="s">
        <v>746</v>
      </c>
    </row>
    <row r="1484" spans="1:2">
      <c r="A1484">
        <v>705487754</v>
      </c>
    </row>
    <row r="1485" spans="1:2">
      <c r="A1485" t="s">
        <v>747</v>
      </c>
    </row>
    <row r="1486" spans="1:2">
      <c r="A1486">
        <v>706671448</v>
      </c>
    </row>
    <row r="1487" spans="1:2">
      <c r="A1487" t="s">
        <v>748</v>
      </c>
    </row>
    <row r="1488" spans="1:2">
      <c r="A1488">
        <v>706671448</v>
      </c>
    </row>
    <row r="1489" spans="1:1">
      <c r="A1489" t="s">
        <v>749</v>
      </c>
    </row>
    <row r="1490" spans="1:1">
      <c r="A1490">
        <v>706671448</v>
      </c>
    </row>
    <row r="1491" spans="1:1">
      <c r="A1491" t="s">
        <v>750</v>
      </c>
    </row>
    <row r="1492" spans="1:1">
      <c r="A1492">
        <v>706671448</v>
      </c>
    </row>
    <row r="1493" spans="1:1">
      <c r="A1493" t="s">
        <v>751</v>
      </c>
    </row>
    <row r="1494" spans="1:1">
      <c r="A1494">
        <v>707868795</v>
      </c>
    </row>
    <row r="1495" spans="1:1">
      <c r="A1495" t="s">
        <v>752</v>
      </c>
    </row>
    <row r="1496" spans="1:1">
      <c r="A1496">
        <v>707089087</v>
      </c>
    </row>
    <row r="1497" spans="1:1">
      <c r="A1497" t="s">
        <v>753</v>
      </c>
    </row>
    <row r="1498" spans="1:1">
      <c r="A1498">
        <v>707089087</v>
      </c>
    </row>
    <row r="1499" spans="1:1">
      <c r="A1499" t="s">
        <v>754</v>
      </c>
    </row>
    <row r="1500" spans="1:1">
      <c r="A1500">
        <v>707089087</v>
      </c>
    </row>
    <row r="1501" spans="1:1">
      <c r="A1501" t="s">
        <v>755</v>
      </c>
    </row>
    <row r="1502" spans="1:1">
      <c r="A1502">
        <v>707868795</v>
      </c>
    </row>
    <row r="1503" spans="1:1">
      <c r="A1503" t="s">
        <v>756</v>
      </c>
    </row>
    <row r="1504" spans="1:1">
      <c r="A1504">
        <v>707868795</v>
      </c>
    </row>
    <row r="1505" spans="1:2">
      <c r="A1505" s="3" t="s">
        <v>757</v>
      </c>
      <c r="B1505" s="1">
        <f>1504/2</f>
        <v>752</v>
      </c>
    </row>
    <row r="1506" spans="1:2">
      <c r="A1506">
        <v>700794451</v>
      </c>
    </row>
    <row r="1507" spans="1:2">
      <c r="A1507" t="s">
        <v>758</v>
      </c>
    </row>
    <row r="1508" spans="1:2">
      <c r="A1508">
        <v>705260276</v>
      </c>
    </row>
    <row r="1509" spans="1:2">
      <c r="A1509" t="s">
        <v>759</v>
      </c>
    </row>
    <row r="1510" spans="1:2">
      <c r="A1510">
        <v>705260276</v>
      </c>
    </row>
    <row r="1511" spans="1:2">
      <c r="A1511" t="s">
        <v>760</v>
      </c>
    </row>
    <row r="1512" spans="1:2">
      <c r="A1512">
        <v>705260276</v>
      </c>
    </row>
    <row r="1513" spans="1:2">
      <c r="A1513" t="s">
        <v>761</v>
      </c>
    </row>
    <row r="1514" spans="1:2">
      <c r="A1514">
        <v>705260276</v>
      </c>
    </row>
    <row r="1515" spans="1:2">
      <c r="A1515" t="s">
        <v>762</v>
      </c>
    </row>
    <row r="1516" spans="1:2">
      <c r="A1516">
        <v>705260276</v>
      </c>
    </row>
    <row r="1517" spans="1:2">
      <c r="A1517" t="s">
        <v>763</v>
      </c>
    </row>
    <row r="1518" spans="1:2">
      <c r="A1518">
        <v>705260276</v>
      </c>
    </row>
    <row r="1519" spans="1:2">
      <c r="A1519" t="s">
        <v>764</v>
      </c>
    </row>
    <row r="1520" spans="1:2">
      <c r="A1520">
        <v>705260276</v>
      </c>
    </row>
    <row r="1521" spans="1:3">
      <c r="A1521" s="3" t="s">
        <v>765</v>
      </c>
      <c r="B1521" s="1">
        <f>1520/2</f>
        <v>760</v>
      </c>
    </row>
    <row r="1522" spans="1:3">
      <c r="A1522">
        <v>705260276</v>
      </c>
    </row>
    <row r="1523" spans="1:3">
      <c r="A1523" t="s">
        <v>766</v>
      </c>
    </row>
    <row r="1524" spans="1:3">
      <c r="A1524">
        <v>705260276</v>
      </c>
    </row>
    <row r="1525" spans="1:3">
      <c r="A1525" t="s">
        <v>767</v>
      </c>
    </row>
    <row r="1526" spans="1:3">
      <c r="A1526">
        <v>705260276</v>
      </c>
    </row>
    <row r="1527" spans="1:3">
      <c r="A1527" t="s">
        <v>768</v>
      </c>
    </row>
    <row r="1528" spans="1:3">
      <c r="A1528">
        <v>705260276</v>
      </c>
    </row>
    <row r="1529" spans="1:3">
      <c r="A1529" t="s">
        <v>769</v>
      </c>
    </row>
    <row r="1530" spans="1:3">
      <c r="A1530">
        <v>705260276</v>
      </c>
    </row>
    <row r="1531" spans="1:3">
      <c r="A1531" t="s">
        <v>770</v>
      </c>
    </row>
    <row r="1532" spans="1:3">
      <c r="A1532">
        <v>705260276</v>
      </c>
    </row>
    <row r="1533" spans="1:3">
      <c r="A1533" t="s">
        <v>771</v>
      </c>
    </row>
    <row r="1534" spans="1:3">
      <c r="A1534">
        <v>705260276</v>
      </c>
    </row>
    <row r="1535" spans="1:3">
      <c r="A1535" s="3" t="s">
        <v>772</v>
      </c>
      <c r="B1535" s="4">
        <f>1534/2</f>
        <v>767</v>
      </c>
      <c r="C1535" s="4" t="s">
        <v>773</v>
      </c>
    </row>
    <row r="1536" spans="1:3">
      <c r="A1536">
        <v>705757917</v>
      </c>
    </row>
    <row r="1537" spans="1:1">
      <c r="A1537" t="s">
        <v>774</v>
      </c>
    </row>
    <row r="1538" spans="1:1">
      <c r="A1538">
        <v>705757917</v>
      </c>
    </row>
    <row r="1539" spans="1:1">
      <c r="A1539" t="s">
        <v>775</v>
      </c>
    </row>
    <row r="1540" spans="1:1">
      <c r="A1540">
        <v>705757917</v>
      </c>
    </row>
    <row r="1541" spans="1:1">
      <c r="A1541" t="s">
        <v>776</v>
      </c>
    </row>
    <row r="1542" spans="1:1">
      <c r="A1542">
        <v>705757917</v>
      </c>
    </row>
    <row r="1543" spans="1:1">
      <c r="A1543" t="s">
        <v>777</v>
      </c>
    </row>
    <row r="1544" spans="1:1">
      <c r="A1544">
        <v>705757917</v>
      </c>
    </row>
    <row r="1545" spans="1:1">
      <c r="A1545" t="s">
        <v>778</v>
      </c>
    </row>
    <row r="1546" spans="1:1">
      <c r="A1546">
        <v>705757917</v>
      </c>
    </row>
    <row r="1547" spans="1:1">
      <c r="A1547" t="s">
        <v>779</v>
      </c>
    </row>
    <row r="1548" spans="1:1">
      <c r="A1548">
        <v>705757917</v>
      </c>
    </row>
    <row r="1549" spans="1:1">
      <c r="A1549" t="s">
        <v>780</v>
      </c>
    </row>
    <row r="1550" spans="1:1">
      <c r="A1550">
        <v>705757917</v>
      </c>
    </row>
    <row r="1551" spans="1:1">
      <c r="A1551" t="s">
        <v>781</v>
      </c>
    </row>
    <row r="1552" spans="1:1">
      <c r="A1552">
        <v>705757917</v>
      </c>
    </row>
    <row r="1553" spans="1:1">
      <c r="A1553" t="s">
        <v>782</v>
      </c>
    </row>
    <row r="1554" spans="1:1">
      <c r="A1554">
        <v>705757917</v>
      </c>
    </row>
    <row r="1555" spans="1:1">
      <c r="A1555" t="s">
        <v>783</v>
      </c>
    </row>
    <row r="1556" spans="1:1">
      <c r="A1556">
        <v>703998661</v>
      </c>
    </row>
    <row r="1557" spans="1:1">
      <c r="A1557" t="s">
        <v>784</v>
      </c>
    </row>
    <row r="1558" spans="1:1">
      <c r="A1558">
        <v>703998661</v>
      </c>
    </row>
    <row r="1559" spans="1:1">
      <c r="A1559" t="s">
        <v>785</v>
      </c>
    </row>
    <row r="1560" spans="1:1">
      <c r="A1560">
        <v>703998661</v>
      </c>
    </row>
    <row r="1561" spans="1:1">
      <c r="A1561" t="s">
        <v>786</v>
      </c>
    </row>
    <row r="1562" spans="1:1">
      <c r="A1562">
        <v>703998661</v>
      </c>
    </row>
    <row r="1563" spans="1:1">
      <c r="A1563" t="s">
        <v>787</v>
      </c>
    </row>
    <row r="1564" spans="1:1">
      <c r="A1564">
        <v>703998661</v>
      </c>
    </row>
    <row r="1565" spans="1:1">
      <c r="A1565" t="s">
        <v>788</v>
      </c>
    </row>
    <row r="1566" spans="1:1">
      <c r="A1566">
        <v>703998661</v>
      </c>
    </row>
    <row r="1567" spans="1:1">
      <c r="A1567" t="s">
        <v>789</v>
      </c>
    </row>
    <row r="1568" spans="1:1">
      <c r="A1568">
        <v>703998661</v>
      </c>
    </row>
    <row r="1569" spans="1:2">
      <c r="A1569" t="s">
        <v>790</v>
      </c>
    </row>
    <row r="1570" spans="1:2">
      <c r="A1570">
        <v>703998661</v>
      </c>
    </row>
    <row r="1571" spans="1:2">
      <c r="A1571" t="s">
        <v>791</v>
      </c>
    </row>
    <row r="1572" spans="1:2">
      <c r="A1572">
        <v>703998661</v>
      </c>
    </row>
    <row r="1573" spans="1:2">
      <c r="A1573" t="s">
        <v>792</v>
      </c>
    </row>
    <row r="1574" spans="1:2">
      <c r="A1574">
        <v>703998661</v>
      </c>
    </row>
    <row r="1575" spans="1:2">
      <c r="A1575" s="3" t="s">
        <v>793</v>
      </c>
      <c r="B1575" s="1">
        <f>1574/2</f>
        <v>787</v>
      </c>
    </row>
    <row r="1576" spans="1:2">
      <c r="A1576">
        <v>706319097</v>
      </c>
    </row>
    <row r="1577" spans="1:2">
      <c r="A1577" t="s">
        <v>794</v>
      </c>
    </row>
    <row r="1578" spans="1:2">
      <c r="A1578">
        <v>706319097</v>
      </c>
    </row>
    <row r="1579" spans="1:2">
      <c r="A1579" t="s">
        <v>795</v>
      </c>
    </row>
    <row r="1580" spans="1:2">
      <c r="A1580">
        <v>706319097</v>
      </c>
    </row>
    <row r="1581" spans="1:2">
      <c r="A1581" t="s">
        <v>796</v>
      </c>
    </row>
    <row r="1582" spans="1:2">
      <c r="A1582">
        <v>706319097</v>
      </c>
    </row>
    <row r="1583" spans="1:2">
      <c r="A1583" t="s">
        <v>797</v>
      </c>
    </row>
    <row r="1584" spans="1:2">
      <c r="A1584">
        <v>706319097</v>
      </c>
    </row>
    <row r="1585" spans="1:1">
      <c r="A1585" t="s">
        <v>798</v>
      </c>
    </row>
    <row r="1586" spans="1:1">
      <c r="A1586">
        <v>706319097</v>
      </c>
    </row>
    <row r="1587" spans="1:1">
      <c r="A1587" t="s">
        <v>799</v>
      </c>
    </row>
    <row r="1588" spans="1:1">
      <c r="A1588">
        <v>706319097</v>
      </c>
    </row>
    <row r="1589" spans="1:1">
      <c r="A1589" t="s">
        <v>800</v>
      </c>
    </row>
    <row r="1590" spans="1:1">
      <c r="A1590">
        <v>706319097</v>
      </c>
    </row>
    <row r="1591" spans="1:1">
      <c r="A1591" t="s">
        <v>801</v>
      </c>
    </row>
    <row r="1592" spans="1:1">
      <c r="A1592">
        <v>706319097</v>
      </c>
    </row>
    <row r="1593" spans="1:1">
      <c r="A1593" t="s">
        <v>802</v>
      </c>
    </row>
    <row r="1594" spans="1:1">
      <c r="A1594">
        <v>706319097</v>
      </c>
    </row>
    <row r="1595" spans="1:1">
      <c r="A1595" t="s">
        <v>803</v>
      </c>
    </row>
    <row r="1596" spans="1:1">
      <c r="A1596">
        <v>706319097</v>
      </c>
    </row>
    <row r="1597" spans="1:1">
      <c r="A1597" t="s">
        <v>804</v>
      </c>
    </row>
    <row r="1598" spans="1:1">
      <c r="A1598">
        <v>706319097</v>
      </c>
    </row>
    <row r="1599" spans="1:1">
      <c r="A1599" t="s">
        <v>805</v>
      </c>
    </row>
    <row r="1600" spans="1:1">
      <c r="A1600">
        <v>706319097</v>
      </c>
    </row>
    <row r="1601" spans="1:1">
      <c r="A1601" t="s">
        <v>806</v>
      </c>
    </row>
    <row r="1602" spans="1:1">
      <c r="A1602">
        <v>706319097</v>
      </c>
    </row>
    <row r="1603" spans="1:1">
      <c r="A1603" t="s">
        <v>807</v>
      </c>
    </row>
    <row r="1604" spans="1:1">
      <c r="A1604">
        <v>706319097</v>
      </c>
    </row>
    <row r="1605" spans="1:1">
      <c r="A1605" t="s">
        <v>808</v>
      </c>
    </row>
    <row r="1606" spans="1:1">
      <c r="A1606">
        <v>706319097</v>
      </c>
    </row>
    <row r="1607" spans="1:1">
      <c r="A1607" t="s">
        <v>809</v>
      </c>
    </row>
    <row r="1608" spans="1:1">
      <c r="A1608">
        <v>706319097</v>
      </c>
    </row>
    <row r="1609" spans="1:1">
      <c r="A1609" t="s">
        <v>810</v>
      </c>
    </row>
    <row r="1610" spans="1:1">
      <c r="A1610">
        <v>706319097</v>
      </c>
    </row>
    <row r="1611" spans="1:1">
      <c r="A1611" t="s">
        <v>811</v>
      </c>
    </row>
    <row r="1612" spans="1:1">
      <c r="A1612">
        <v>706319097</v>
      </c>
    </row>
    <row r="1613" spans="1:1">
      <c r="A1613" t="s">
        <v>812</v>
      </c>
    </row>
    <row r="1614" spans="1:1">
      <c r="A1614">
        <v>706319097</v>
      </c>
    </row>
    <row r="1615" spans="1:1">
      <c r="A1615" t="s">
        <v>813</v>
      </c>
    </row>
    <row r="1616" spans="1:1">
      <c r="A1616">
        <v>706319097</v>
      </c>
    </row>
    <row r="1617" spans="1:1">
      <c r="A1617" t="s">
        <v>814</v>
      </c>
    </row>
    <row r="1618" spans="1:1">
      <c r="A1618">
        <v>706319097</v>
      </c>
    </row>
    <row r="1619" spans="1:1">
      <c r="A1619" t="s">
        <v>815</v>
      </c>
    </row>
    <row r="1620" spans="1:1">
      <c r="A1620">
        <v>706319097</v>
      </c>
    </row>
    <row r="1621" spans="1:1">
      <c r="A1621" t="s">
        <v>816</v>
      </c>
    </row>
    <row r="1622" spans="1:1">
      <c r="A1622">
        <v>706319097</v>
      </c>
    </row>
    <row r="1623" spans="1:1">
      <c r="A1623" t="s">
        <v>817</v>
      </c>
    </row>
    <row r="1624" spans="1:1">
      <c r="A1624">
        <v>706319097</v>
      </c>
    </row>
    <row r="1625" spans="1:1">
      <c r="A1625" t="s">
        <v>818</v>
      </c>
    </row>
    <row r="1626" spans="1:1">
      <c r="A1626">
        <v>706319097</v>
      </c>
    </row>
    <row r="1627" spans="1:1">
      <c r="A1627" t="s">
        <v>819</v>
      </c>
    </row>
    <row r="1628" spans="1:1">
      <c r="A1628">
        <v>706319097</v>
      </c>
    </row>
    <row r="1629" spans="1:1">
      <c r="A1629" t="s">
        <v>820</v>
      </c>
    </row>
    <row r="1630" spans="1:1">
      <c r="A1630">
        <v>706319097</v>
      </c>
    </row>
    <row r="1631" spans="1:1">
      <c r="A1631" t="s">
        <v>821</v>
      </c>
    </row>
    <row r="1632" spans="1:1">
      <c r="A1632">
        <v>706319097</v>
      </c>
    </row>
    <row r="1633" spans="1:1">
      <c r="A1633" t="s">
        <v>822</v>
      </c>
    </row>
    <row r="1634" spans="1:1">
      <c r="A1634">
        <v>706319097</v>
      </c>
    </row>
    <row r="1635" spans="1:1">
      <c r="A1635" t="s">
        <v>823</v>
      </c>
    </row>
    <row r="1636" spans="1:1">
      <c r="A1636">
        <v>706319097</v>
      </c>
    </row>
    <row r="1637" spans="1:1">
      <c r="A1637" t="s">
        <v>824</v>
      </c>
    </row>
    <row r="1638" spans="1:1">
      <c r="A1638">
        <v>706319097</v>
      </c>
    </row>
    <row r="1639" spans="1:1">
      <c r="A1639" t="s">
        <v>825</v>
      </c>
    </row>
    <row r="1640" spans="1:1">
      <c r="A1640">
        <v>706319097</v>
      </c>
    </row>
    <row r="1641" spans="1:1">
      <c r="A1641" t="s">
        <v>826</v>
      </c>
    </row>
    <row r="1642" spans="1:1">
      <c r="A1642">
        <v>706319097</v>
      </c>
    </row>
    <row r="1643" spans="1:1">
      <c r="A1643" t="s">
        <v>827</v>
      </c>
    </row>
    <row r="1644" spans="1:1">
      <c r="A1644">
        <v>706319097</v>
      </c>
    </row>
    <row r="1645" spans="1:1">
      <c r="A1645" t="s">
        <v>828</v>
      </c>
    </row>
    <row r="1646" spans="1:1">
      <c r="A1646">
        <v>706319097</v>
      </c>
    </row>
    <row r="1647" spans="1:1">
      <c r="A1647" t="s">
        <v>829</v>
      </c>
    </row>
    <row r="1648" spans="1:1">
      <c r="A1648">
        <v>706319097</v>
      </c>
    </row>
    <row r="1649" spans="1:1">
      <c r="A1649" t="s">
        <v>830</v>
      </c>
    </row>
    <row r="1650" spans="1:1">
      <c r="A1650">
        <v>706319097</v>
      </c>
    </row>
    <row r="1651" spans="1:1">
      <c r="A1651" t="s">
        <v>831</v>
      </c>
    </row>
    <row r="1652" spans="1:1">
      <c r="A1652">
        <v>706319097</v>
      </c>
    </row>
    <row r="1653" spans="1:1">
      <c r="A1653" t="s">
        <v>832</v>
      </c>
    </row>
    <row r="1654" spans="1:1">
      <c r="A1654">
        <v>706319097</v>
      </c>
    </row>
    <row r="1655" spans="1:1">
      <c r="A1655" t="s">
        <v>833</v>
      </c>
    </row>
    <row r="1656" spans="1:1">
      <c r="A1656">
        <v>706319097</v>
      </c>
    </row>
    <row r="1657" spans="1:1">
      <c r="A1657" t="s">
        <v>834</v>
      </c>
    </row>
    <row r="1658" spans="1:1">
      <c r="A1658">
        <v>706319097</v>
      </c>
    </row>
    <row r="1659" spans="1:1">
      <c r="A1659" t="s">
        <v>835</v>
      </c>
    </row>
    <row r="1660" spans="1:1">
      <c r="A1660">
        <v>706319097</v>
      </c>
    </row>
    <row r="1661" spans="1:1">
      <c r="A1661" t="s">
        <v>836</v>
      </c>
    </row>
    <row r="1662" spans="1:1">
      <c r="A1662">
        <v>706319097</v>
      </c>
    </row>
    <row r="1663" spans="1:1">
      <c r="A1663" t="s">
        <v>837</v>
      </c>
    </row>
    <row r="1664" spans="1:1">
      <c r="A1664">
        <v>706319097</v>
      </c>
    </row>
    <row r="1665" spans="1:1">
      <c r="A1665" t="s">
        <v>838</v>
      </c>
    </row>
    <row r="1666" spans="1:1">
      <c r="A1666">
        <v>706319097</v>
      </c>
    </row>
    <row r="1667" spans="1:1">
      <c r="A1667" t="s">
        <v>839</v>
      </c>
    </row>
    <row r="1668" spans="1:1">
      <c r="A1668">
        <v>706319097</v>
      </c>
    </row>
    <row r="1669" spans="1:1">
      <c r="A1669" t="s">
        <v>840</v>
      </c>
    </row>
    <row r="1670" spans="1:1">
      <c r="A1670">
        <v>706319097</v>
      </c>
    </row>
    <row r="1671" spans="1:1">
      <c r="A1671" t="s">
        <v>841</v>
      </c>
    </row>
    <row r="1672" spans="1:1">
      <c r="A1672">
        <v>706319097</v>
      </c>
    </row>
    <row r="1673" spans="1:1">
      <c r="A1673" t="s">
        <v>842</v>
      </c>
    </row>
    <row r="1674" spans="1:1">
      <c r="A1674">
        <v>706319097</v>
      </c>
    </row>
    <row r="1675" spans="1:1">
      <c r="A1675" t="s">
        <v>843</v>
      </c>
    </row>
    <row r="1676" spans="1:1">
      <c r="A1676">
        <v>706319097</v>
      </c>
    </row>
    <row r="1677" spans="1:1">
      <c r="A1677" t="s">
        <v>844</v>
      </c>
    </row>
    <row r="1678" spans="1:1">
      <c r="A1678">
        <v>706319097</v>
      </c>
    </row>
    <row r="1679" spans="1:1">
      <c r="A1679" t="s">
        <v>845</v>
      </c>
    </row>
    <row r="1680" spans="1:1">
      <c r="A1680">
        <v>706319097</v>
      </c>
    </row>
    <row r="1681" spans="1:1">
      <c r="A1681" t="s">
        <v>846</v>
      </c>
    </row>
    <row r="1682" spans="1:1">
      <c r="A1682">
        <v>706319097</v>
      </c>
    </row>
    <row r="1683" spans="1:1">
      <c r="A1683" t="s">
        <v>847</v>
      </c>
    </row>
    <row r="1684" spans="1:1">
      <c r="A1684">
        <v>706319097</v>
      </c>
    </row>
    <row r="1685" spans="1:1">
      <c r="A1685" t="s">
        <v>848</v>
      </c>
    </row>
    <row r="1686" spans="1:1">
      <c r="A1686">
        <v>706319097</v>
      </c>
    </row>
    <row r="1687" spans="1:1">
      <c r="A1687" t="s">
        <v>849</v>
      </c>
    </row>
    <row r="1688" spans="1:1">
      <c r="A1688">
        <v>706319097</v>
      </c>
    </row>
    <row r="1689" spans="1:1">
      <c r="A1689" t="s">
        <v>850</v>
      </c>
    </row>
    <row r="1690" spans="1:1">
      <c r="A1690">
        <v>706319097</v>
      </c>
    </row>
    <row r="1691" spans="1:1">
      <c r="A1691" t="s">
        <v>851</v>
      </c>
    </row>
    <row r="1692" spans="1:1">
      <c r="A1692">
        <v>706319097</v>
      </c>
    </row>
    <row r="1693" spans="1:1">
      <c r="A1693" t="s">
        <v>852</v>
      </c>
    </row>
    <row r="1694" spans="1:1">
      <c r="A1694">
        <v>706319097</v>
      </c>
    </row>
    <row r="1695" spans="1:1">
      <c r="A1695" t="s">
        <v>853</v>
      </c>
    </row>
    <row r="1696" spans="1:1">
      <c r="A1696">
        <v>705811581</v>
      </c>
    </row>
    <row r="1697" spans="1:1">
      <c r="A1697" t="s">
        <v>854</v>
      </c>
    </row>
    <row r="1698" spans="1:1">
      <c r="A1698">
        <v>707573890</v>
      </c>
    </row>
    <row r="1699" spans="1:1">
      <c r="A1699" t="s">
        <v>855</v>
      </c>
    </row>
    <row r="1700" spans="1:1">
      <c r="A1700">
        <v>707573890</v>
      </c>
    </row>
    <row r="1701" spans="1:1">
      <c r="A1701" t="s">
        <v>856</v>
      </c>
    </row>
    <row r="1702" spans="1:1">
      <c r="A1702">
        <v>707573890</v>
      </c>
    </row>
    <row r="1703" spans="1:1">
      <c r="A1703" t="s">
        <v>857</v>
      </c>
    </row>
    <row r="1704" spans="1:1">
      <c r="A1704">
        <v>707573890</v>
      </c>
    </row>
    <row r="1705" spans="1:1">
      <c r="A1705" t="s">
        <v>858</v>
      </c>
    </row>
    <row r="1706" spans="1:1">
      <c r="A1706">
        <v>707573890</v>
      </c>
    </row>
    <row r="1707" spans="1:1">
      <c r="A1707" t="s">
        <v>859</v>
      </c>
    </row>
    <row r="1708" spans="1:1">
      <c r="A1708">
        <v>707573890</v>
      </c>
    </row>
    <row r="1709" spans="1:1">
      <c r="A1709" t="s">
        <v>860</v>
      </c>
    </row>
    <row r="1710" spans="1:1">
      <c r="A1710">
        <v>697417868</v>
      </c>
    </row>
    <row r="1711" spans="1:1">
      <c r="A1711" t="s">
        <v>861</v>
      </c>
    </row>
    <row r="1712" spans="1:1">
      <c r="A1712">
        <v>705711831</v>
      </c>
    </row>
    <row r="1713" spans="1:2">
      <c r="A1713" t="s">
        <v>862</v>
      </c>
    </row>
    <row r="1714" spans="1:2">
      <c r="A1714">
        <v>707637877</v>
      </c>
    </row>
    <row r="1715" spans="1:2">
      <c r="A1715" t="s">
        <v>863</v>
      </c>
    </row>
    <row r="1716" spans="1:2">
      <c r="A1716">
        <v>705763246</v>
      </c>
    </row>
    <row r="1717" spans="1:2">
      <c r="A1717" t="s">
        <v>864</v>
      </c>
    </row>
    <row r="1718" spans="1:2">
      <c r="A1718">
        <v>706663411</v>
      </c>
    </row>
    <row r="1719" spans="1:2">
      <c r="A1719" t="s">
        <v>865</v>
      </c>
    </row>
    <row r="1720" spans="1:2">
      <c r="A1720">
        <v>697417868</v>
      </c>
    </row>
    <row r="1721" spans="1:2">
      <c r="A1721" t="s">
        <v>866</v>
      </c>
    </row>
    <row r="1722" spans="1:2">
      <c r="A1722">
        <v>697417868</v>
      </c>
    </row>
    <row r="1723" spans="1:2">
      <c r="A1723" s="3" t="s">
        <v>867</v>
      </c>
      <c r="B1723" s="1">
        <f>1722/2</f>
        <v>861</v>
      </c>
    </row>
    <row r="1724" spans="1:2">
      <c r="A1724">
        <v>706670663</v>
      </c>
    </row>
    <row r="1725" spans="1:2">
      <c r="A1725" t="s">
        <v>868</v>
      </c>
    </row>
    <row r="1726" spans="1:2">
      <c r="A1726">
        <v>706670663</v>
      </c>
    </row>
    <row r="1727" spans="1:2">
      <c r="A1727" t="s">
        <v>869</v>
      </c>
    </row>
    <row r="1728" spans="1:2">
      <c r="A1728">
        <v>706670663</v>
      </c>
    </row>
    <row r="1729" spans="1:1">
      <c r="A1729" t="s">
        <v>870</v>
      </c>
    </row>
    <row r="1730" spans="1:1">
      <c r="A1730">
        <v>706670663</v>
      </c>
    </row>
    <row r="1731" spans="1:1">
      <c r="A1731" t="s">
        <v>871</v>
      </c>
    </row>
    <row r="1732" spans="1:1">
      <c r="A1732">
        <v>706670663</v>
      </c>
    </row>
    <row r="1733" spans="1:1">
      <c r="A1733" t="s">
        <v>872</v>
      </c>
    </row>
    <row r="1734" spans="1:1">
      <c r="A1734">
        <v>706670663</v>
      </c>
    </row>
    <row r="1735" spans="1:1">
      <c r="A1735" t="s">
        <v>873</v>
      </c>
    </row>
    <row r="1736" spans="1:1">
      <c r="A1736">
        <v>706670663</v>
      </c>
    </row>
    <row r="1737" spans="1:1">
      <c r="A1737" t="s">
        <v>874</v>
      </c>
    </row>
    <row r="1738" spans="1:1">
      <c r="A1738">
        <v>706670663</v>
      </c>
    </row>
    <row r="1739" spans="1:1">
      <c r="A1739" t="s">
        <v>875</v>
      </c>
    </row>
    <row r="1740" spans="1:1">
      <c r="A1740">
        <v>706670663</v>
      </c>
    </row>
    <row r="1741" spans="1:1">
      <c r="A1741" t="s">
        <v>876</v>
      </c>
    </row>
    <row r="1742" spans="1:1">
      <c r="A1742">
        <v>706670663</v>
      </c>
    </row>
    <row r="1743" spans="1:1">
      <c r="A1743" t="s">
        <v>877</v>
      </c>
    </row>
    <row r="1744" spans="1:1">
      <c r="A1744">
        <v>706670663</v>
      </c>
    </row>
    <row r="1745" spans="1:1">
      <c r="A1745" t="s">
        <v>878</v>
      </c>
    </row>
    <row r="1746" spans="1:1">
      <c r="A1746">
        <v>706670663</v>
      </c>
    </row>
    <row r="1747" spans="1:1">
      <c r="A1747" t="s">
        <v>879</v>
      </c>
    </row>
    <row r="1748" spans="1:1">
      <c r="A1748">
        <v>706670663</v>
      </c>
    </row>
    <row r="1749" spans="1:1">
      <c r="A1749" t="s">
        <v>880</v>
      </c>
    </row>
    <row r="1750" spans="1:1">
      <c r="A1750">
        <v>706670663</v>
      </c>
    </row>
    <row r="1751" spans="1:1">
      <c r="A1751" t="s">
        <v>881</v>
      </c>
    </row>
    <row r="1752" spans="1:1">
      <c r="A1752">
        <v>706670663</v>
      </c>
    </row>
    <row r="1753" spans="1:1">
      <c r="A1753" t="s">
        <v>882</v>
      </c>
    </row>
    <row r="1754" spans="1:1">
      <c r="A1754">
        <v>706670663</v>
      </c>
    </row>
    <row r="1755" spans="1:1">
      <c r="A1755" t="s">
        <v>883</v>
      </c>
    </row>
    <row r="1756" spans="1:1">
      <c r="A1756">
        <v>706670663</v>
      </c>
    </row>
    <row r="1757" spans="1:1">
      <c r="A1757" t="s">
        <v>884</v>
      </c>
    </row>
    <row r="1758" spans="1:1">
      <c r="A1758">
        <v>706670663</v>
      </c>
    </row>
    <row r="1759" spans="1:1">
      <c r="A1759" t="s">
        <v>885</v>
      </c>
    </row>
    <row r="1760" spans="1:1">
      <c r="A1760">
        <v>706670663</v>
      </c>
    </row>
    <row r="1761" spans="1:1">
      <c r="A1761" t="s">
        <v>886</v>
      </c>
    </row>
    <row r="1762" spans="1:1">
      <c r="A1762">
        <v>706670663</v>
      </c>
    </row>
    <row r="1763" spans="1:1">
      <c r="A1763" t="s">
        <v>887</v>
      </c>
    </row>
    <row r="1764" spans="1:1">
      <c r="A1764">
        <v>706670663</v>
      </c>
    </row>
    <row r="1765" spans="1:1">
      <c r="A1765" t="s">
        <v>888</v>
      </c>
    </row>
    <row r="1766" spans="1:1">
      <c r="A1766">
        <v>706670663</v>
      </c>
    </row>
    <row r="1767" spans="1:1">
      <c r="A1767" t="s">
        <v>889</v>
      </c>
    </row>
    <row r="1768" spans="1:1">
      <c r="A1768">
        <v>706670663</v>
      </c>
    </row>
    <row r="1769" spans="1:1">
      <c r="A1769" t="s">
        <v>890</v>
      </c>
    </row>
    <row r="1770" spans="1:1">
      <c r="A1770">
        <v>706670663</v>
      </c>
    </row>
    <row r="1771" spans="1:1">
      <c r="A1771" t="s">
        <v>891</v>
      </c>
    </row>
    <row r="1772" spans="1:1">
      <c r="A1772">
        <v>706670663</v>
      </c>
    </row>
    <row r="1773" spans="1:1">
      <c r="A1773" t="s">
        <v>892</v>
      </c>
    </row>
    <row r="1774" spans="1:1">
      <c r="A1774">
        <v>706670663</v>
      </c>
    </row>
    <row r="1775" spans="1:1">
      <c r="A1775" t="s">
        <v>893</v>
      </c>
    </row>
    <row r="1776" spans="1:1">
      <c r="A1776">
        <v>706670663</v>
      </c>
    </row>
    <row r="1777" spans="1:1">
      <c r="A1777" t="s">
        <v>894</v>
      </c>
    </row>
    <row r="1778" spans="1:1">
      <c r="A1778">
        <v>706670663</v>
      </c>
    </row>
    <row r="1779" spans="1:1">
      <c r="A1779" t="s">
        <v>895</v>
      </c>
    </row>
    <row r="1780" spans="1:1">
      <c r="A1780">
        <v>706670663</v>
      </c>
    </row>
    <row r="1781" spans="1:1">
      <c r="A1781" t="s">
        <v>896</v>
      </c>
    </row>
    <row r="1782" spans="1:1">
      <c r="A1782">
        <v>706670663</v>
      </c>
    </row>
    <row r="1783" spans="1:1">
      <c r="A1783" t="s">
        <v>897</v>
      </c>
    </row>
    <row r="1784" spans="1:1">
      <c r="A1784">
        <v>706670663</v>
      </c>
    </row>
    <row r="1785" spans="1:1">
      <c r="A1785" t="s">
        <v>898</v>
      </c>
    </row>
    <row r="1786" spans="1:1">
      <c r="A1786">
        <v>706670663</v>
      </c>
    </row>
    <row r="1787" spans="1:1">
      <c r="A1787" t="s">
        <v>899</v>
      </c>
    </row>
    <row r="1788" spans="1:1">
      <c r="A1788">
        <v>706670663</v>
      </c>
    </row>
    <row r="1789" spans="1:1">
      <c r="A1789" t="s">
        <v>900</v>
      </c>
    </row>
    <row r="1790" spans="1:1">
      <c r="A1790">
        <v>706670663</v>
      </c>
    </row>
    <row r="1791" spans="1:1">
      <c r="A1791" t="s">
        <v>901</v>
      </c>
    </row>
    <row r="1792" spans="1:1">
      <c r="A1792">
        <v>706670663</v>
      </c>
    </row>
    <row r="1793" spans="1:1">
      <c r="A1793" t="s">
        <v>902</v>
      </c>
    </row>
    <row r="1794" spans="1:1">
      <c r="A1794">
        <v>706670663</v>
      </c>
    </row>
    <row r="1795" spans="1:1">
      <c r="A1795" t="s">
        <v>903</v>
      </c>
    </row>
    <row r="1796" spans="1:1">
      <c r="A1796">
        <v>706670663</v>
      </c>
    </row>
    <row r="1797" spans="1:1">
      <c r="A1797" t="s">
        <v>904</v>
      </c>
    </row>
    <row r="1798" spans="1:1">
      <c r="A1798">
        <v>706670663</v>
      </c>
    </row>
    <row r="1799" spans="1:1">
      <c r="A1799" t="s">
        <v>905</v>
      </c>
    </row>
    <row r="1800" spans="1:1">
      <c r="A1800">
        <v>706670663</v>
      </c>
    </row>
    <row r="1801" spans="1:1">
      <c r="A1801" t="s">
        <v>906</v>
      </c>
    </row>
    <row r="1802" spans="1:1">
      <c r="A1802">
        <v>706670663</v>
      </c>
    </row>
    <row r="1803" spans="1:1">
      <c r="A1803" t="s">
        <v>907</v>
      </c>
    </row>
    <row r="1804" spans="1:1">
      <c r="A1804">
        <v>706670663</v>
      </c>
    </row>
    <row r="1805" spans="1:1">
      <c r="A1805" t="s">
        <v>908</v>
      </c>
    </row>
    <row r="1806" spans="1:1">
      <c r="A1806">
        <v>706670663</v>
      </c>
    </row>
    <row r="1807" spans="1:1">
      <c r="A1807" t="s">
        <v>909</v>
      </c>
    </row>
    <row r="1808" spans="1:1">
      <c r="A1808">
        <v>706670663</v>
      </c>
    </row>
    <row r="1809" spans="1:1">
      <c r="A1809" t="s">
        <v>910</v>
      </c>
    </row>
    <row r="1810" spans="1:1">
      <c r="A1810">
        <v>706670663</v>
      </c>
    </row>
    <row r="1811" spans="1:1">
      <c r="A1811" t="s">
        <v>911</v>
      </c>
    </row>
    <row r="1812" spans="1:1">
      <c r="A1812">
        <v>706670663</v>
      </c>
    </row>
    <row r="1813" spans="1:1">
      <c r="A1813" t="s">
        <v>912</v>
      </c>
    </row>
    <row r="1814" spans="1:1">
      <c r="A1814">
        <v>706670663</v>
      </c>
    </row>
    <row r="1815" spans="1:1">
      <c r="A1815" t="s">
        <v>913</v>
      </c>
    </row>
    <row r="1816" spans="1:1">
      <c r="A1816">
        <v>706670663</v>
      </c>
    </row>
    <row r="1817" spans="1:1">
      <c r="A1817" t="s">
        <v>914</v>
      </c>
    </row>
    <row r="1818" spans="1:1">
      <c r="A1818">
        <v>706670663</v>
      </c>
    </row>
    <row r="1819" spans="1:1">
      <c r="A1819" t="s">
        <v>915</v>
      </c>
    </row>
    <row r="1820" spans="1:1">
      <c r="A1820">
        <v>706670663</v>
      </c>
    </row>
    <row r="1821" spans="1:1">
      <c r="A1821" t="s">
        <v>916</v>
      </c>
    </row>
    <row r="1822" spans="1:1">
      <c r="A1822">
        <v>706670663</v>
      </c>
    </row>
    <row r="1823" spans="1:1">
      <c r="A1823" t="s">
        <v>917</v>
      </c>
    </row>
    <row r="1824" spans="1:1">
      <c r="A1824">
        <v>706670663</v>
      </c>
    </row>
    <row r="1825" spans="1:1">
      <c r="A1825" t="s">
        <v>918</v>
      </c>
    </row>
    <row r="1826" spans="1:1">
      <c r="A1826">
        <v>706670663</v>
      </c>
    </row>
    <row r="1827" spans="1:1">
      <c r="A1827" t="s">
        <v>919</v>
      </c>
    </row>
    <row r="1828" spans="1:1">
      <c r="A1828">
        <v>706670663</v>
      </c>
    </row>
    <row r="1829" spans="1:1">
      <c r="A1829" t="s">
        <v>920</v>
      </c>
    </row>
    <row r="1830" spans="1:1">
      <c r="A1830">
        <v>706670663</v>
      </c>
    </row>
    <row r="1831" spans="1:1">
      <c r="A1831" t="s">
        <v>921</v>
      </c>
    </row>
    <row r="1832" spans="1:1">
      <c r="A1832">
        <v>706670663</v>
      </c>
    </row>
    <row r="1833" spans="1:1">
      <c r="A1833" t="s">
        <v>922</v>
      </c>
    </row>
    <row r="1834" spans="1:1">
      <c r="A1834">
        <v>706670663</v>
      </c>
    </row>
    <row r="1835" spans="1:1">
      <c r="A1835" t="s">
        <v>923</v>
      </c>
    </row>
    <row r="1836" spans="1:1">
      <c r="A1836">
        <v>706670663</v>
      </c>
    </row>
    <row r="1837" spans="1:1">
      <c r="A1837" t="s">
        <v>924</v>
      </c>
    </row>
    <row r="1838" spans="1:1">
      <c r="A1838">
        <v>706670663</v>
      </c>
    </row>
    <row r="1839" spans="1:1">
      <c r="A1839" t="s">
        <v>925</v>
      </c>
    </row>
    <row r="1840" spans="1:1">
      <c r="A1840">
        <v>706670663</v>
      </c>
    </row>
    <row r="1841" spans="1:1">
      <c r="A1841" t="s">
        <v>926</v>
      </c>
    </row>
    <row r="1842" spans="1:1">
      <c r="A1842">
        <v>706670663</v>
      </c>
    </row>
    <row r="1843" spans="1:1">
      <c r="A1843" t="s">
        <v>927</v>
      </c>
    </row>
    <row r="1844" spans="1:1">
      <c r="A1844">
        <v>706670663</v>
      </c>
    </row>
    <row r="1845" spans="1:1">
      <c r="A1845" t="s">
        <v>928</v>
      </c>
    </row>
    <row r="1846" spans="1:1">
      <c r="A1846">
        <v>706670663</v>
      </c>
    </row>
    <row r="1847" spans="1:1">
      <c r="A1847" t="s">
        <v>929</v>
      </c>
    </row>
    <row r="1848" spans="1:1">
      <c r="A1848">
        <v>706670663</v>
      </c>
    </row>
    <row r="1849" spans="1:1">
      <c r="A1849" t="s">
        <v>930</v>
      </c>
    </row>
    <row r="1850" spans="1:1">
      <c r="A1850">
        <v>706670663</v>
      </c>
    </row>
    <row r="1851" spans="1:1">
      <c r="A1851" t="s">
        <v>931</v>
      </c>
    </row>
    <row r="1852" spans="1:1">
      <c r="A1852">
        <v>706670663</v>
      </c>
    </row>
    <row r="1853" spans="1:1">
      <c r="A1853" t="s">
        <v>932</v>
      </c>
    </row>
    <row r="1854" spans="1:1">
      <c r="A1854">
        <v>706670663</v>
      </c>
    </row>
    <row r="1855" spans="1:1">
      <c r="A1855" t="s">
        <v>933</v>
      </c>
    </row>
    <row r="1856" spans="1:1">
      <c r="A1856">
        <v>706670663</v>
      </c>
    </row>
    <row r="1857" spans="1:1">
      <c r="A1857" t="s">
        <v>934</v>
      </c>
    </row>
    <row r="1858" spans="1:1">
      <c r="A1858">
        <v>706670663</v>
      </c>
    </row>
    <row r="1859" spans="1:1">
      <c r="A1859" t="s">
        <v>935</v>
      </c>
    </row>
    <row r="1860" spans="1:1">
      <c r="A1860">
        <v>706670663</v>
      </c>
    </row>
    <row r="1861" spans="1:1">
      <c r="A1861" t="s">
        <v>936</v>
      </c>
    </row>
    <row r="1862" spans="1:1">
      <c r="A1862">
        <v>706670663</v>
      </c>
    </row>
    <row r="1863" spans="1:1">
      <c r="A1863" t="s">
        <v>937</v>
      </c>
    </row>
    <row r="1864" spans="1:1">
      <c r="A1864">
        <v>706670663</v>
      </c>
    </row>
    <row r="1865" spans="1:1">
      <c r="A1865" t="s">
        <v>938</v>
      </c>
    </row>
    <row r="1866" spans="1:1">
      <c r="A1866">
        <v>706670663</v>
      </c>
    </row>
    <row r="1867" spans="1:1">
      <c r="A1867" t="s">
        <v>939</v>
      </c>
    </row>
    <row r="1868" spans="1:1">
      <c r="A1868">
        <v>706670663</v>
      </c>
    </row>
    <row r="1869" spans="1:1">
      <c r="A1869" t="s">
        <v>940</v>
      </c>
    </row>
    <row r="1870" spans="1:1">
      <c r="A1870">
        <v>706670663</v>
      </c>
    </row>
    <row r="1871" spans="1:1">
      <c r="A1871" t="s">
        <v>941</v>
      </c>
    </row>
    <row r="1872" spans="1:1">
      <c r="A1872">
        <v>706670663</v>
      </c>
    </row>
    <row r="1873" spans="1:1">
      <c r="A1873" t="s">
        <v>942</v>
      </c>
    </row>
    <row r="1874" spans="1:1">
      <c r="A1874">
        <v>706670663</v>
      </c>
    </row>
    <row r="1875" spans="1:1">
      <c r="A1875" t="s">
        <v>943</v>
      </c>
    </row>
    <row r="1876" spans="1:1">
      <c r="A1876">
        <v>706670663</v>
      </c>
    </row>
    <row r="1877" spans="1:1">
      <c r="A1877" t="s">
        <v>944</v>
      </c>
    </row>
    <row r="1878" spans="1:1">
      <c r="A1878">
        <v>706670663</v>
      </c>
    </row>
    <row r="1879" spans="1:1">
      <c r="A1879" t="s">
        <v>945</v>
      </c>
    </row>
    <row r="1880" spans="1:1">
      <c r="A1880">
        <v>706670663</v>
      </c>
    </row>
    <row r="1881" spans="1:1">
      <c r="A1881" t="s">
        <v>946</v>
      </c>
    </row>
    <row r="1882" spans="1:1">
      <c r="A1882">
        <v>706670663</v>
      </c>
    </row>
    <row r="1883" spans="1:1">
      <c r="A1883" t="s">
        <v>947</v>
      </c>
    </row>
    <row r="1884" spans="1:1">
      <c r="A1884">
        <v>706670663</v>
      </c>
    </row>
    <row r="1885" spans="1:1">
      <c r="A1885" t="s">
        <v>948</v>
      </c>
    </row>
    <row r="1886" spans="1:1">
      <c r="A1886">
        <v>706670663</v>
      </c>
    </row>
    <row r="1887" spans="1:1">
      <c r="A1887" t="s">
        <v>949</v>
      </c>
    </row>
    <row r="1888" spans="1:1">
      <c r="A1888">
        <v>706670663</v>
      </c>
    </row>
    <row r="1889" spans="1:1">
      <c r="A1889" t="s">
        <v>950</v>
      </c>
    </row>
    <row r="1890" spans="1:1">
      <c r="A1890">
        <v>706670663</v>
      </c>
    </row>
    <row r="1891" spans="1:1">
      <c r="A1891" t="s">
        <v>951</v>
      </c>
    </row>
    <row r="1892" spans="1:1">
      <c r="A1892">
        <v>706670663</v>
      </c>
    </row>
    <row r="1893" spans="1:1">
      <c r="A1893" t="s">
        <v>952</v>
      </c>
    </row>
    <row r="1894" spans="1:1">
      <c r="A1894">
        <v>706670663</v>
      </c>
    </row>
    <row r="1895" spans="1:1">
      <c r="A1895" t="s">
        <v>953</v>
      </c>
    </row>
    <row r="1896" spans="1:1">
      <c r="A1896">
        <v>706670663</v>
      </c>
    </row>
    <row r="1897" spans="1:1">
      <c r="A1897" t="s">
        <v>954</v>
      </c>
    </row>
    <row r="1898" spans="1:1">
      <c r="A1898">
        <v>706670663</v>
      </c>
    </row>
    <row r="1899" spans="1:1">
      <c r="A1899" t="s">
        <v>955</v>
      </c>
    </row>
    <row r="1900" spans="1:1">
      <c r="A1900">
        <v>706670663</v>
      </c>
    </row>
    <row r="1901" spans="1:1">
      <c r="A1901" t="s">
        <v>956</v>
      </c>
    </row>
    <row r="1902" spans="1:1">
      <c r="A1902">
        <v>706670663</v>
      </c>
    </row>
    <row r="1903" spans="1:1">
      <c r="A1903" t="s">
        <v>957</v>
      </c>
    </row>
    <row r="1904" spans="1:1">
      <c r="A1904">
        <v>706670663</v>
      </c>
    </row>
    <row r="1905" spans="1:1">
      <c r="A1905" t="s">
        <v>958</v>
      </c>
    </row>
    <row r="1906" spans="1:1">
      <c r="A1906">
        <v>706670663</v>
      </c>
    </row>
    <row r="1907" spans="1:1">
      <c r="A1907" t="s">
        <v>959</v>
      </c>
    </row>
    <row r="1908" spans="1:1">
      <c r="A1908">
        <v>706670663</v>
      </c>
    </row>
    <row r="1909" spans="1:1">
      <c r="A1909" t="s">
        <v>960</v>
      </c>
    </row>
    <row r="1910" spans="1:1">
      <c r="A1910">
        <v>706670663</v>
      </c>
    </row>
    <row r="1911" spans="1:1">
      <c r="A1911" t="s">
        <v>961</v>
      </c>
    </row>
    <row r="1912" spans="1:1">
      <c r="A1912">
        <v>706670663</v>
      </c>
    </row>
    <row r="1913" spans="1:1">
      <c r="A1913" t="s">
        <v>962</v>
      </c>
    </row>
    <row r="1914" spans="1:1">
      <c r="A1914">
        <v>706670663</v>
      </c>
    </row>
    <row r="1915" spans="1:1">
      <c r="A1915" t="s">
        <v>963</v>
      </c>
    </row>
    <row r="1916" spans="1:1">
      <c r="A1916">
        <v>706670663</v>
      </c>
    </row>
    <row r="1917" spans="1:1">
      <c r="A1917" t="s">
        <v>964</v>
      </c>
    </row>
    <row r="1918" spans="1:1">
      <c r="A1918">
        <v>706670663</v>
      </c>
    </row>
    <row r="1919" spans="1:1">
      <c r="A1919" t="s">
        <v>965</v>
      </c>
    </row>
    <row r="1920" spans="1:1">
      <c r="A1920">
        <v>706670663</v>
      </c>
    </row>
    <row r="1921" spans="1:1">
      <c r="A1921" t="s">
        <v>966</v>
      </c>
    </row>
    <row r="1922" spans="1:1">
      <c r="A1922">
        <v>706670663</v>
      </c>
    </row>
    <row r="1923" spans="1:1">
      <c r="A1923" t="s">
        <v>967</v>
      </c>
    </row>
    <row r="1924" spans="1:1">
      <c r="A1924">
        <v>706670663</v>
      </c>
    </row>
    <row r="1925" spans="1:1">
      <c r="A1925" t="s">
        <v>968</v>
      </c>
    </row>
    <row r="1926" spans="1:1">
      <c r="A1926">
        <v>706670663</v>
      </c>
    </row>
    <row r="1927" spans="1:1">
      <c r="A1927" t="s">
        <v>969</v>
      </c>
    </row>
    <row r="1928" spans="1:1">
      <c r="A1928">
        <v>706670663</v>
      </c>
    </row>
    <row r="1929" spans="1:1">
      <c r="A1929" t="s">
        <v>970</v>
      </c>
    </row>
    <row r="1930" spans="1:1">
      <c r="A1930">
        <v>706670663</v>
      </c>
    </row>
    <row r="1931" spans="1:1">
      <c r="A1931" t="s">
        <v>971</v>
      </c>
    </row>
    <row r="1932" spans="1:1">
      <c r="A1932">
        <v>706670663</v>
      </c>
    </row>
    <row r="1933" spans="1:1">
      <c r="A1933" t="s">
        <v>972</v>
      </c>
    </row>
    <row r="1934" spans="1:1">
      <c r="A1934">
        <v>706670663</v>
      </c>
    </row>
    <row r="1935" spans="1:1">
      <c r="A1935" t="s">
        <v>973</v>
      </c>
    </row>
    <row r="1936" spans="1:1">
      <c r="A1936">
        <v>706670663</v>
      </c>
    </row>
    <row r="1937" spans="1:2">
      <c r="A1937" t="s">
        <v>974</v>
      </c>
    </row>
    <row r="1938" spans="1:2">
      <c r="A1938">
        <v>706670663</v>
      </c>
    </row>
    <row r="1939" spans="1:2">
      <c r="A1939" t="s">
        <v>975</v>
      </c>
    </row>
    <row r="1940" spans="1:2">
      <c r="A1940">
        <v>706670663</v>
      </c>
    </row>
    <row r="1941" spans="1:2">
      <c r="A1941" t="s">
        <v>976</v>
      </c>
    </row>
    <row r="1942" spans="1:2">
      <c r="A1942">
        <v>706670663</v>
      </c>
    </row>
    <row r="1943" spans="1:2">
      <c r="A1943" t="s">
        <v>977</v>
      </c>
    </row>
    <row r="1944" spans="1:2">
      <c r="A1944">
        <v>706670663</v>
      </c>
    </row>
    <row r="1945" spans="1:2">
      <c r="A1945" s="3" t="s">
        <v>978</v>
      </c>
      <c r="B1945" s="1">
        <f>1944/2</f>
        <v>972</v>
      </c>
    </row>
    <row r="1946" spans="1:2">
      <c r="A1946">
        <v>703659859</v>
      </c>
    </row>
    <row r="1947" spans="1:2">
      <c r="A1947" t="s">
        <v>979</v>
      </c>
    </row>
    <row r="1948" spans="1:2">
      <c r="A1948">
        <v>703623368</v>
      </c>
    </row>
    <row r="1949" spans="1:2">
      <c r="A1949" t="s">
        <v>980</v>
      </c>
    </row>
    <row r="1950" spans="1:2">
      <c r="A1950">
        <v>703623368</v>
      </c>
    </row>
    <row r="1951" spans="1:2">
      <c r="A1951" t="s">
        <v>981</v>
      </c>
    </row>
    <row r="1952" spans="1:2">
      <c r="A1952">
        <v>705712466</v>
      </c>
    </row>
    <row r="1953" spans="1:2">
      <c r="A1953" t="s">
        <v>982</v>
      </c>
    </row>
    <row r="1954" spans="1:2">
      <c r="A1954">
        <v>701404993</v>
      </c>
    </row>
    <row r="1955" spans="1:2">
      <c r="A1955" t="s">
        <v>983</v>
      </c>
    </row>
    <row r="1956" spans="1:2">
      <c r="A1956">
        <v>707520941</v>
      </c>
    </row>
    <row r="1957" spans="1:2">
      <c r="A1957" t="s">
        <v>984</v>
      </c>
    </row>
    <row r="1958" spans="1:2">
      <c r="A1958">
        <v>707520941</v>
      </c>
    </row>
    <row r="1959" spans="1:2">
      <c r="A1959" t="s">
        <v>985</v>
      </c>
    </row>
    <row r="1960" spans="1:2">
      <c r="A1960">
        <v>705712466</v>
      </c>
    </row>
    <row r="1961" spans="1:2">
      <c r="A1961" t="s">
        <v>986</v>
      </c>
    </row>
    <row r="1962" spans="1:2">
      <c r="A1962">
        <v>701404993</v>
      </c>
    </row>
    <row r="1963" spans="1:2">
      <c r="A1963" t="s">
        <v>987</v>
      </c>
    </row>
    <row r="1964" spans="1:2">
      <c r="A1964">
        <v>703623368</v>
      </c>
    </row>
    <row r="1965" spans="1:2">
      <c r="A1965" t="s">
        <v>988</v>
      </c>
    </row>
    <row r="1966" spans="1:2">
      <c r="A1966">
        <v>703659859</v>
      </c>
    </row>
    <row r="1967" spans="1:2">
      <c r="A1967" s="3" t="s">
        <v>989</v>
      </c>
      <c r="B1967" s="1">
        <f>1966/2</f>
        <v>983</v>
      </c>
    </row>
    <row r="1968" spans="1:2">
      <c r="A1968">
        <v>704145940</v>
      </c>
    </row>
    <row r="1969" spans="1:1">
      <c r="A1969" t="s">
        <v>990</v>
      </c>
    </row>
    <row r="1970" spans="1:1">
      <c r="A1970">
        <v>707013293</v>
      </c>
    </row>
    <row r="1971" spans="1:1">
      <c r="A1971" t="s">
        <v>991</v>
      </c>
    </row>
    <row r="1972" spans="1:1">
      <c r="A1972">
        <v>707013293</v>
      </c>
    </row>
    <row r="1973" spans="1:1">
      <c r="A1973" t="s">
        <v>992</v>
      </c>
    </row>
    <row r="1974" spans="1:1">
      <c r="A1974">
        <v>707013293</v>
      </c>
    </row>
    <row r="1975" spans="1:1">
      <c r="A1975" t="s">
        <v>993</v>
      </c>
    </row>
    <row r="1976" spans="1:1">
      <c r="A1976">
        <v>707013244</v>
      </c>
    </row>
    <row r="1977" spans="1:1">
      <c r="A1977" t="s">
        <v>994</v>
      </c>
    </row>
    <row r="1978" spans="1:1">
      <c r="A1978">
        <v>705142938</v>
      </c>
    </row>
    <row r="1979" spans="1:1">
      <c r="A1979" t="s">
        <v>995</v>
      </c>
    </row>
    <row r="1980" spans="1:1">
      <c r="A1980">
        <v>699552035</v>
      </c>
    </row>
    <row r="1981" spans="1:1">
      <c r="A1981" t="s">
        <v>996</v>
      </c>
    </row>
    <row r="1982" spans="1:1">
      <c r="A1982">
        <v>699552035</v>
      </c>
    </row>
    <row r="1983" spans="1:1">
      <c r="A1983" t="s">
        <v>997</v>
      </c>
    </row>
    <row r="1984" spans="1:1">
      <c r="A1984">
        <v>699552035</v>
      </c>
    </row>
    <row r="1985" spans="1:3">
      <c r="A1985" t="s">
        <v>998</v>
      </c>
    </row>
    <row r="1986" spans="1:3">
      <c r="A1986">
        <v>699552035</v>
      </c>
    </row>
    <row r="1987" spans="1:3">
      <c r="A1987" t="s">
        <v>999</v>
      </c>
    </row>
    <row r="1988" spans="1:3">
      <c r="A1988">
        <v>705142938</v>
      </c>
    </row>
    <row r="1989" spans="1:3">
      <c r="A1989" t="s">
        <v>1000</v>
      </c>
    </row>
    <row r="1990" spans="1:3">
      <c r="A1990">
        <v>707013293</v>
      </c>
    </row>
    <row r="1991" spans="1:3">
      <c r="A1991" t="s">
        <v>1001</v>
      </c>
    </row>
    <row r="1992" spans="1:3">
      <c r="A1992">
        <v>707013293</v>
      </c>
    </row>
    <row r="1993" spans="1:3">
      <c r="A1993" t="s">
        <v>1002</v>
      </c>
    </row>
    <row r="1994" spans="1:3">
      <c r="A1994">
        <v>707013293</v>
      </c>
    </row>
    <row r="1995" spans="1:3">
      <c r="A1995" t="s">
        <v>1003</v>
      </c>
    </row>
    <row r="1996" spans="1:3">
      <c r="A1996">
        <v>707013244</v>
      </c>
    </row>
    <row r="1997" spans="1:3">
      <c r="A1997" t="s">
        <v>1004</v>
      </c>
    </row>
    <row r="1998" spans="1:3">
      <c r="A1998">
        <v>704145940</v>
      </c>
    </row>
    <row r="1999" spans="1:3">
      <c r="A1999" s="3" t="s">
        <v>1005</v>
      </c>
      <c r="B1999" s="1">
        <f>1998/2</f>
        <v>999</v>
      </c>
      <c r="C1999" s="6">
        <v>0.7944444444444444</v>
      </c>
    </row>
    <row r="2000" spans="1:3">
      <c r="A2000">
        <v>706667966</v>
      </c>
    </row>
    <row r="2001" spans="1:1">
      <c r="A2001" t="s">
        <v>1006</v>
      </c>
    </row>
    <row r="2002" spans="1:1">
      <c r="A2002">
        <v>706667966</v>
      </c>
    </row>
    <row r="2003" spans="1:1">
      <c r="A2003" t="s">
        <v>1007</v>
      </c>
    </row>
    <row r="2004" spans="1:1">
      <c r="A2004">
        <v>706667966</v>
      </c>
    </row>
    <row r="2005" spans="1:1">
      <c r="A2005" t="s">
        <v>1008</v>
      </c>
    </row>
    <row r="2006" spans="1:1">
      <c r="A2006">
        <v>706667966</v>
      </c>
    </row>
    <row r="2007" spans="1:1">
      <c r="A2007" t="s">
        <v>1009</v>
      </c>
    </row>
    <row r="2008" spans="1:1">
      <c r="A2008">
        <v>706667966</v>
      </c>
    </row>
    <row r="2009" spans="1:1">
      <c r="A2009" t="s">
        <v>1010</v>
      </c>
    </row>
    <row r="2010" spans="1:1">
      <c r="A2010">
        <v>706667966</v>
      </c>
    </row>
    <row r="2011" spans="1:1">
      <c r="A2011" t="s">
        <v>1011</v>
      </c>
    </row>
    <row r="2012" spans="1:1">
      <c r="A2012">
        <v>706667966</v>
      </c>
    </row>
    <row r="2013" spans="1:1">
      <c r="A2013" t="s">
        <v>1012</v>
      </c>
    </row>
    <row r="2014" spans="1:1">
      <c r="A2014">
        <v>706667966</v>
      </c>
    </row>
    <row r="2015" spans="1:1">
      <c r="A2015" t="s">
        <v>1013</v>
      </c>
    </row>
    <row r="2016" spans="1:1">
      <c r="A2016">
        <v>706667966</v>
      </c>
    </row>
    <row r="2017" spans="1:1">
      <c r="A2017" t="s">
        <v>1014</v>
      </c>
    </row>
    <row r="2018" spans="1:1">
      <c r="A2018">
        <v>706667966</v>
      </c>
    </row>
    <row r="2019" spans="1:1">
      <c r="A2019" t="s">
        <v>1015</v>
      </c>
    </row>
    <row r="2020" spans="1:1">
      <c r="A2020">
        <v>706667966</v>
      </c>
    </row>
    <row r="2021" spans="1:1">
      <c r="A2021" t="s">
        <v>1016</v>
      </c>
    </row>
    <row r="2022" spans="1:1">
      <c r="A2022">
        <v>706667966</v>
      </c>
    </row>
    <row r="2023" spans="1:1">
      <c r="A2023" t="s">
        <v>1017</v>
      </c>
    </row>
    <row r="2024" spans="1:1">
      <c r="A2024">
        <v>706667966</v>
      </c>
    </row>
    <row r="2025" spans="1:1">
      <c r="A2025" t="s">
        <v>1018</v>
      </c>
    </row>
    <row r="2026" spans="1:1">
      <c r="A2026">
        <v>706667966</v>
      </c>
    </row>
    <row r="2027" spans="1:1">
      <c r="A2027" t="s">
        <v>1019</v>
      </c>
    </row>
    <row r="2028" spans="1:1">
      <c r="A2028">
        <v>706667966</v>
      </c>
    </row>
    <row r="2029" spans="1:1">
      <c r="A2029" t="s">
        <v>1020</v>
      </c>
    </row>
    <row r="2030" spans="1:1">
      <c r="A2030">
        <v>706667966</v>
      </c>
    </row>
    <row r="2031" spans="1:1">
      <c r="A2031" t="s">
        <v>1021</v>
      </c>
    </row>
    <row r="2032" spans="1:1">
      <c r="A2032">
        <v>706667966</v>
      </c>
    </row>
    <row r="2033" spans="1:1">
      <c r="A2033" t="s">
        <v>1022</v>
      </c>
    </row>
    <row r="2034" spans="1:1">
      <c r="A2034">
        <v>706667966</v>
      </c>
    </row>
    <row r="2035" spans="1:1">
      <c r="A2035" t="s">
        <v>1023</v>
      </c>
    </row>
    <row r="2036" spans="1:1">
      <c r="A2036">
        <v>706667966</v>
      </c>
    </row>
    <row r="2037" spans="1:1">
      <c r="A2037" t="s">
        <v>1024</v>
      </c>
    </row>
    <row r="2038" spans="1:1">
      <c r="A2038">
        <v>706667966</v>
      </c>
    </row>
    <row r="2039" spans="1:1">
      <c r="A2039" t="s">
        <v>1025</v>
      </c>
    </row>
    <row r="2040" spans="1:1">
      <c r="A2040">
        <v>706667966</v>
      </c>
    </row>
    <row r="2041" spans="1:1">
      <c r="A2041" t="s">
        <v>1026</v>
      </c>
    </row>
    <row r="2042" spans="1:1">
      <c r="A2042">
        <v>706667966</v>
      </c>
    </row>
    <row r="2043" spans="1:1">
      <c r="A2043" t="s">
        <v>1027</v>
      </c>
    </row>
    <row r="2044" spans="1:1">
      <c r="A2044">
        <v>706667966</v>
      </c>
    </row>
    <row r="2045" spans="1:1">
      <c r="A2045" t="s">
        <v>1028</v>
      </c>
    </row>
    <row r="2046" spans="1:1">
      <c r="A2046">
        <v>706667966</v>
      </c>
    </row>
    <row r="2047" spans="1:1">
      <c r="A2047" t="s">
        <v>1029</v>
      </c>
    </row>
    <row r="2048" spans="1:1">
      <c r="A2048">
        <v>706667966</v>
      </c>
    </row>
    <row r="2049" spans="1:1">
      <c r="A2049" t="s">
        <v>1030</v>
      </c>
    </row>
    <row r="2050" spans="1:1">
      <c r="A2050">
        <v>706667966</v>
      </c>
    </row>
    <row r="2051" spans="1:1">
      <c r="A2051" t="s">
        <v>1031</v>
      </c>
    </row>
    <row r="2052" spans="1:1">
      <c r="A2052">
        <v>706667966</v>
      </c>
    </row>
    <row r="2053" spans="1:1">
      <c r="A2053" t="s">
        <v>1032</v>
      </c>
    </row>
    <row r="2054" spans="1:1">
      <c r="A2054">
        <v>706667966</v>
      </c>
    </row>
    <row r="2055" spans="1:1">
      <c r="A2055" t="s">
        <v>1033</v>
      </c>
    </row>
    <row r="2056" spans="1:1">
      <c r="A2056">
        <v>706667966</v>
      </c>
    </row>
    <row r="2057" spans="1:1">
      <c r="A2057" t="s">
        <v>1034</v>
      </c>
    </row>
    <row r="2058" spans="1:1">
      <c r="A2058">
        <v>706667966</v>
      </c>
    </row>
    <row r="2059" spans="1:1">
      <c r="A2059" t="s">
        <v>1035</v>
      </c>
    </row>
    <row r="2060" spans="1:1">
      <c r="A2060">
        <v>706667966</v>
      </c>
    </row>
    <row r="2061" spans="1:1">
      <c r="A2061" t="s">
        <v>1036</v>
      </c>
    </row>
    <row r="2062" spans="1:1">
      <c r="A2062">
        <v>706667966</v>
      </c>
    </row>
    <row r="2063" spans="1:1">
      <c r="A2063" t="s">
        <v>1037</v>
      </c>
    </row>
    <row r="2064" spans="1:1">
      <c r="A2064">
        <v>706667966</v>
      </c>
    </row>
    <row r="2065" spans="1:2">
      <c r="A2065" t="s">
        <v>1038</v>
      </c>
    </row>
    <row r="2066" spans="1:2">
      <c r="A2066">
        <v>706667966</v>
      </c>
    </row>
    <row r="2067" spans="1:2">
      <c r="A2067" t="s">
        <v>1039</v>
      </c>
    </row>
    <row r="2068" spans="1:2">
      <c r="A2068">
        <v>706667966</v>
      </c>
    </row>
    <row r="2069" spans="1:2">
      <c r="A2069" t="s">
        <v>1040</v>
      </c>
    </row>
    <row r="2070" spans="1:2">
      <c r="A2070">
        <v>706667966</v>
      </c>
    </row>
    <row r="2071" spans="1:2">
      <c r="A2071" t="s">
        <v>1041</v>
      </c>
    </row>
    <row r="2072" spans="1:2">
      <c r="A2072">
        <v>706667966</v>
      </c>
    </row>
    <row r="2073" spans="1:2">
      <c r="A2073" s="3" t="s">
        <v>1042</v>
      </c>
      <c r="B2073" s="1">
        <f>2072/2</f>
        <v>1036</v>
      </c>
    </row>
    <row r="2074" spans="1:2">
      <c r="A2074">
        <v>706667966</v>
      </c>
    </row>
    <row r="2075" spans="1:2">
      <c r="A2075" t="s">
        <v>1043</v>
      </c>
    </row>
    <row r="2076" spans="1:2">
      <c r="A2076">
        <v>706667966</v>
      </c>
    </row>
    <row r="2077" spans="1:2">
      <c r="A2077" t="s">
        <v>1044</v>
      </c>
    </row>
    <row r="2078" spans="1:2">
      <c r="A2078">
        <v>706667966</v>
      </c>
    </row>
    <row r="2079" spans="1:2">
      <c r="A2079" t="s">
        <v>1045</v>
      </c>
    </row>
    <row r="2080" spans="1:2">
      <c r="A2080">
        <v>706667966</v>
      </c>
    </row>
    <row r="2081" spans="1:1">
      <c r="A2081" t="s">
        <v>1046</v>
      </c>
    </row>
    <row r="2082" spans="1:1">
      <c r="A2082">
        <v>706667966</v>
      </c>
    </row>
    <row r="2083" spans="1:1">
      <c r="A2083" t="s">
        <v>1047</v>
      </c>
    </row>
    <row r="2084" spans="1:1">
      <c r="A2084">
        <v>706667966</v>
      </c>
    </row>
    <row r="2085" spans="1:1">
      <c r="A2085" t="s">
        <v>1048</v>
      </c>
    </row>
    <row r="2086" spans="1:1">
      <c r="A2086">
        <v>706667966</v>
      </c>
    </row>
    <row r="2087" spans="1:1">
      <c r="A2087" t="s">
        <v>1049</v>
      </c>
    </row>
    <row r="2088" spans="1:1">
      <c r="A2088">
        <v>706667966</v>
      </c>
    </row>
    <row r="2089" spans="1:1">
      <c r="A2089" t="s">
        <v>1050</v>
      </c>
    </row>
    <row r="2090" spans="1:1">
      <c r="A2090">
        <v>706667966</v>
      </c>
    </row>
    <row r="2091" spans="1:1">
      <c r="A2091" t="s">
        <v>1051</v>
      </c>
    </row>
    <row r="2092" spans="1:1">
      <c r="A2092">
        <v>706667966</v>
      </c>
    </row>
    <row r="2093" spans="1:1">
      <c r="A2093" t="s">
        <v>1052</v>
      </c>
    </row>
    <row r="2094" spans="1:1">
      <c r="A2094">
        <v>706667966</v>
      </c>
    </row>
    <row r="2095" spans="1:1">
      <c r="A2095" t="s">
        <v>1053</v>
      </c>
    </row>
    <row r="2096" spans="1:1">
      <c r="A2096">
        <v>706667966</v>
      </c>
    </row>
    <row r="2097" spans="1:1">
      <c r="A2097" t="s">
        <v>1054</v>
      </c>
    </row>
    <row r="2098" spans="1:1">
      <c r="A2098">
        <v>706667966</v>
      </c>
    </row>
    <row r="2099" spans="1:1">
      <c r="A2099" t="s">
        <v>1055</v>
      </c>
    </row>
    <row r="2100" spans="1:1">
      <c r="A2100">
        <v>706667966</v>
      </c>
    </row>
    <row r="2101" spans="1:1">
      <c r="A2101" t="s">
        <v>1056</v>
      </c>
    </row>
    <row r="2102" spans="1:1">
      <c r="A2102">
        <v>706667966</v>
      </c>
    </row>
    <row r="2103" spans="1:1">
      <c r="A2103" t="s">
        <v>1057</v>
      </c>
    </row>
    <row r="2104" spans="1:1">
      <c r="A2104">
        <v>706667966</v>
      </c>
    </row>
    <row r="2105" spans="1:1">
      <c r="A2105" t="s">
        <v>1058</v>
      </c>
    </row>
    <row r="2106" spans="1:1">
      <c r="A2106">
        <v>706667966</v>
      </c>
    </row>
    <row r="2107" spans="1:1">
      <c r="A2107" t="s">
        <v>1059</v>
      </c>
    </row>
    <row r="2108" spans="1:1">
      <c r="A2108">
        <v>706667966</v>
      </c>
    </row>
    <row r="2109" spans="1:1">
      <c r="A2109" t="s">
        <v>1060</v>
      </c>
    </row>
    <row r="2110" spans="1:1">
      <c r="A2110">
        <v>706667966</v>
      </c>
    </row>
    <row r="2111" spans="1:1">
      <c r="A2111" t="s">
        <v>1061</v>
      </c>
    </row>
    <row r="2112" spans="1:1">
      <c r="A2112">
        <v>706667966</v>
      </c>
    </row>
    <row r="2113" spans="1:1">
      <c r="A2113" t="s">
        <v>1062</v>
      </c>
    </row>
    <row r="2114" spans="1:1">
      <c r="A2114">
        <v>706667966</v>
      </c>
    </row>
    <row r="2115" spans="1:1">
      <c r="A2115" t="s">
        <v>1063</v>
      </c>
    </row>
    <row r="2116" spans="1:1">
      <c r="A2116">
        <v>706667966</v>
      </c>
    </row>
    <row r="2117" spans="1:1">
      <c r="A2117" t="s">
        <v>1064</v>
      </c>
    </row>
    <row r="2118" spans="1:1">
      <c r="A2118">
        <v>706667966</v>
      </c>
    </row>
    <row r="2119" spans="1:1">
      <c r="A2119" t="s">
        <v>1065</v>
      </c>
    </row>
    <row r="2120" spans="1:1">
      <c r="A2120">
        <v>706667966</v>
      </c>
    </row>
    <row r="2121" spans="1:1">
      <c r="A2121" t="s">
        <v>1066</v>
      </c>
    </row>
    <row r="2122" spans="1:1">
      <c r="A2122">
        <v>706667966</v>
      </c>
    </row>
    <row r="2123" spans="1:1">
      <c r="A2123" t="s">
        <v>1067</v>
      </c>
    </row>
    <row r="2124" spans="1:1">
      <c r="A2124">
        <v>706667966</v>
      </c>
    </row>
    <row r="2125" spans="1:1">
      <c r="A2125" t="s">
        <v>1068</v>
      </c>
    </row>
    <row r="2126" spans="1:1">
      <c r="A2126">
        <v>706667966</v>
      </c>
    </row>
    <row r="2127" spans="1:1">
      <c r="A2127" t="s">
        <v>1069</v>
      </c>
    </row>
    <row r="2128" spans="1:1">
      <c r="A2128">
        <v>706667966</v>
      </c>
    </row>
    <row r="2129" spans="1:1">
      <c r="A2129" t="s">
        <v>1070</v>
      </c>
    </row>
    <row r="2130" spans="1:1">
      <c r="A2130">
        <v>706667966</v>
      </c>
    </row>
    <row r="2131" spans="1:1">
      <c r="A2131" t="s">
        <v>1071</v>
      </c>
    </row>
    <row r="2132" spans="1:1">
      <c r="A2132">
        <v>706667966</v>
      </c>
    </row>
    <row r="2133" spans="1:1">
      <c r="A2133" t="s">
        <v>1072</v>
      </c>
    </row>
    <row r="2134" spans="1:1">
      <c r="A2134">
        <v>706667966</v>
      </c>
    </row>
    <row r="2135" spans="1:1">
      <c r="A2135" t="s">
        <v>1073</v>
      </c>
    </row>
    <row r="2136" spans="1:1">
      <c r="A2136">
        <v>706667966</v>
      </c>
    </row>
    <row r="2137" spans="1:1">
      <c r="A2137" t="s">
        <v>1074</v>
      </c>
    </row>
    <row r="2138" spans="1:1">
      <c r="A2138">
        <v>706667966</v>
      </c>
    </row>
    <row r="2139" spans="1:1">
      <c r="A2139" t="s">
        <v>1075</v>
      </c>
    </row>
    <row r="2140" spans="1:1">
      <c r="A2140">
        <v>706667966</v>
      </c>
    </row>
    <row r="2141" spans="1:1">
      <c r="A2141" t="s">
        <v>1076</v>
      </c>
    </row>
    <row r="2142" spans="1:1">
      <c r="A2142">
        <v>706667966</v>
      </c>
    </row>
    <row r="2143" spans="1:1">
      <c r="A2143" t="s">
        <v>1077</v>
      </c>
    </row>
    <row r="2144" spans="1:1">
      <c r="A2144">
        <v>706667966</v>
      </c>
    </row>
    <row r="2145" spans="1:1">
      <c r="A2145" t="s">
        <v>1078</v>
      </c>
    </row>
    <row r="2146" spans="1:1">
      <c r="A2146">
        <v>706667966</v>
      </c>
    </row>
    <row r="2147" spans="1:1">
      <c r="A2147" t="s">
        <v>1079</v>
      </c>
    </row>
    <row r="2148" spans="1:1">
      <c r="A2148">
        <v>706667966</v>
      </c>
    </row>
    <row r="2149" spans="1:1">
      <c r="A2149" t="s">
        <v>1080</v>
      </c>
    </row>
    <row r="2150" spans="1:1">
      <c r="A2150">
        <v>706667966</v>
      </c>
    </row>
    <row r="2151" spans="1:1">
      <c r="A2151" t="s">
        <v>1081</v>
      </c>
    </row>
    <row r="2152" spans="1:1">
      <c r="A2152">
        <v>706667966</v>
      </c>
    </row>
    <row r="2153" spans="1:1">
      <c r="A2153" t="s">
        <v>1082</v>
      </c>
    </row>
    <row r="2154" spans="1:1">
      <c r="A2154">
        <v>706667966</v>
      </c>
    </row>
    <row r="2155" spans="1:1">
      <c r="A2155" t="s">
        <v>1083</v>
      </c>
    </row>
    <row r="2156" spans="1:1">
      <c r="A2156">
        <v>706667966</v>
      </c>
    </row>
    <row r="2157" spans="1:1">
      <c r="A2157" t="s">
        <v>1084</v>
      </c>
    </row>
    <row r="2158" spans="1:1">
      <c r="A2158">
        <v>706667966</v>
      </c>
    </row>
    <row r="2159" spans="1:1">
      <c r="A2159" t="s">
        <v>1085</v>
      </c>
    </row>
    <row r="2160" spans="1:1">
      <c r="A2160">
        <v>706667966</v>
      </c>
    </row>
    <row r="2161" spans="1:1">
      <c r="A2161" t="s">
        <v>1086</v>
      </c>
    </row>
    <row r="2162" spans="1:1">
      <c r="A2162">
        <v>706667966</v>
      </c>
    </row>
    <row r="2163" spans="1:1">
      <c r="A2163" t="s">
        <v>1087</v>
      </c>
    </row>
    <row r="2164" spans="1:1">
      <c r="A2164">
        <v>706667966</v>
      </c>
    </row>
    <row r="2165" spans="1:1">
      <c r="A2165" t="s">
        <v>1088</v>
      </c>
    </row>
    <row r="2166" spans="1:1">
      <c r="A2166">
        <v>706667966</v>
      </c>
    </row>
    <row r="2167" spans="1:1">
      <c r="A2167" t="s">
        <v>1089</v>
      </c>
    </row>
    <row r="2168" spans="1:1">
      <c r="A2168">
        <v>706667966</v>
      </c>
    </row>
    <row r="2169" spans="1:1">
      <c r="A2169" t="s">
        <v>1090</v>
      </c>
    </row>
    <row r="2170" spans="1:1">
      <c r="A2170">
        <v>706667966</v>
      </c>
    </row>
    <row r="2171" spans="1:1">
      <c r="A2171" t="s">
        <v>1091</v>
      </c>
    </row>
    <row r="2172" spans="1:1">
      <c r="A2172">
        <v>706667966</v>
      </c>
    </row>
    <row r="2173" spans="1:1">
      <c r="A2173" t="s">
        <v>1092</v>
      </c>
    </row>
    <row r="2174" spans="1:1">
      <c r="A2174">
        <v>706667966</v>
      </c>
    </row>
    <row r="2175" spans="1:1">
      <c r="A2175" t="s">
        <v>1093</v>
      </c>
    </row>
    <row r="2176" spans="1:1">
      <c r="A2176">
        <v>706667966</v>
      </c>
    </row>
    <row r="2177" spans="1:1">
      <c r="A2177" t="s">
        <v>1094</v>
      </c>
    </row>
    <row r="2178" spans="1:1">
      <c r="A2178">
        <v>706667966</v>
      </c>
    </row>
    <row r="2179" spans="1:1">
      <c r="A2179" t="s">
        <v>1095</v>
      </c>
    </row>
    <row r="2180" spans="1:1">
      <c r="A2180">
        <v>706667966</v>
      </c>
    </row>
    <row r="2181" spans="1:1">
      <c r="A2181" t="s">
        <v>1096</v>
      </c>
    </row>
    <row r="2182" spans="1:1">
      <c r="A2182">
        <v>706667966</v>
      </c>
    </row>
    <row r="2183" spans="1:1">
      <c r="A2183" t="s">
        <v>1097</v>
      </c>
    </row>
    <row r="2184" spans="1:1">
      <c r="A2184">
        <v>706667966</v>
      </c>
    </row>
    <row r="2185" spans="1:1">
      <c r="A2185" t="s">
        <v>1098</v>
      </c>
    </row>
    <row r="2186" spans="1:1">
      <c r="A2186">
        <v>706667966</v>
      </c>
    </row>
    <row r="2187" spans="1:1">
      <c r="A2187" t="s">
        <v>1099</v>
      </c>
    </row>
    <row r="2188" spans="1:1">
      <c r="A2188">
        <v>706667966</v>
      </c>
    </row>
    <row r="2189" spans="1:1">
      <c r="A2189" t="s">
        <v>1100</v>
      </c>
    </row>
    <row r="2190" spans="1:1">
      <c r="A2190">
        <v>706667966</v>
      </c>
    </row>
    <row r="2191" spans="1:1">
      <c r="A2191" t="s">
        <v>1101</v>
      </c>
    </row>
    <row r="2192" spans="1:1">
      <c r="A2192">
        <v>706667966</v>
      </c>
    </row>
    <row r="2193" spans="1:1">
      <c r="A2193" t="s">
        <v>1102</v>
      </c>
    </row>
    <row r="2194" spans="1:1">
      <c r="A2194">
        <v>706667966</v>
      </c>
    </row>
    <row r="2195" spans="1:1">
      <c r="A2195" t="s">
        <v>1103</v>
      </c>
    </row>
    <row r="2196" spans="1:1">
      <c r="A2196">
        <v>706667966</v>
      </c>
    </row>
    <row r="2197" spans="1:1">
      <c r="A2197" t="s">
        <v>1104</v>
      </c>
    </row>
    <row r="2198" spans="1:1">
      <c r="A2198">
        <v>706667966</v>
      </c>
    </row>
    <row r="2199" spans="1:1">
      <c r="A2199" t="s">
        <v>1105</v>
      </c>
    </row>
    <row r="2200" spans="1:1">
      <c r="A2200">
        <v>706667966</v>
      </c>
    </row>
    <row r="2201" spans="1:1">
      <c r="A2201" t="s">
        <v>1106</v>
      </c>
    </row>
    <row r="2202" spans="1:1">
      <c r="A2202">
        <v>706667966</v>
      </c>
    </row>
    <row r="2203" spans="1:1">
      <c r="A2203" t="s">
        <v>1107</v>
      </c>
    </row>
    <row r="2204" spans="1:1">
      <c r="A2204">
        <v>706667966</v>
      </c>
    </row>
    <row r="2205" spans="1:1">
      <c r="A2205" t="s">
        <v>1108</v>
      </c>
    </row>
    <row r="2206" spans="1:1">
      <c r="A2206">
        <v>706667966</v>
      </c>
    </row>
    <row r="2207" spans="1:1">
      <c r="A2207" t="s">
        <v>1109</v>
      </c>
    </row>
    <row r="2208" spans="1:1">
      <c r="A2208">
        <v>706667966</v>
      </c>
    </row>
    <row r="2209" spans="1:2">
      <c r="A2209" t="s">
        <v>1110</v>
      </c>
    </row>
    <row r="2210" spans="1:2">
      <c r="A2210">
        <v>706667966</v>
      </c>
    </row>
    <row r="2211" spans="1:2">
      <c r="A2211" t="s">
        <v>1111</v>
      </c>
    </row>
    <row r="2212" spans="1:2">
      <c r="A2212">
        <v>706667966</v>
      </c>
    </row>
    <row r="2213" spans="1:2">
      <c r="A2213" t="s">
        <v>1112</v>
      </c>
    </row>
    <row r="2214" spans="1:2">
      <c r="A2214">
        <v>706667966</v>
      </c>
    </row>
    <row r="2215" spans="1:2">
      <c r="A2215" t="s">
        <v>1113</v>
      </c>
    </row>
    <row r="2216" spans="1:2">
      <c r="A2216">
        <v>706667966</v>
      </c>
    </row>
    <row r="2217" spans="1:2">
      <c r="A2217" t="s">
        <v>1114</v>
      </c>
    </row>
    <row r="2218" spans="1:2">
      <c r="A2218">
        <v>706667966</v>
      </c>
    </row>
    <row r="2219" spans="1:2">
      <c r="A2219" t="s">
        <v>1115</v>
      </c>
    </row>
    <row r="2220" spans="1:2">
      <c r="A2220">
        <v>706667966</v>
      </c>
    </row>
    <row r="2221" spans="1:2">
      <c r="A2221" s="3" t="s">
        <v>1116</v>
      </c>
      <c r="B2221" s="1">
        <f>2220/2</f>
        <v>1110</v>
      </c>
    </row>
    <row r="2222" spans="1:2">
      <c r="A2222">
        <v>707087412</v>
      </c>
    </row>
    <row r="2223" spans="1:2">
      <c r="A2223" t="s">
        <v>1117</v>
      </c>
    </row>
    <row r="2224" spans="1:2">
      <c r="A2224">
        <v>707087412</v>
      </c>
    </row>
    <row r="2225" spans="1:1">
      <c r="A2225" t="s">
        <v>1118</v>
      </c>
    </row>
    <row r="2226" spans="1:1">
      <c r="A2226">
        <v>707013335</v>
      </c>
    </row>
    <row r="2227" spans="1:1">
      <c r="A2227" t="s">
        <v>1119</v>
      </c>
    </row>
    <row r="2228" spans="1:1">
      <c r="A2228">
        <v>705811821</v>
      </c>
    </row>
    <row r="2229" spans="1:1">
      <c r="A2229" t="s">
        <v>1120</v>
      </c>
    </row>
    <row r="2230" spans="1:1">
      <c r="A2230">
        <v>697835663</v>
      </c>
    </row>
    <row r="2231" spans="1:1">
      <c r="A2231" t="s">
        <v>1121</v>
      </c>
    </row>
    <row r="2232" spans="1:1">
      <c r="A2232">
        <v>705811821</v>
      </c>
    </row>
    <row r="2233" spans="1:1">
      <c r="A2233" t="s">
        <v>1122</v>
      </c>
    </row>
    <row r="2234" spans="1:1">
      <c r="A2234">
        <v>697835663</v>
      </c>
    </row>
    <row r="2235" spans="1:1">
      <c r="A2235" t="s">
        <v>1123</v>
      </c>
    </row>
    <row r="2236" spans="1:1">
      <c r="A2236">
        <v>707087412</v>
      </c>
    </row>
    <row r="2237" spans="1:1">
      <c r="A2237" t="s">
        <v>1124</v>
      </c>
    </row>
    <row r="2238" spans="1:1">
      <c r="A2238">
        <v>707013335</v>
      </c>
    </row>
    <row r="2239" spans="1:1">
      <c r="A2239" t="s">
        <v>1125</v>
      </c>
    </row>
    <row r="2240" spans="1:1">
      <c r="A2240">
        <v>707367988</v>
      </c>
    </row>
    <row r="2241" spans="1:2">
      <c r="A2241" t="s">
        <v>1126</v>
      </c>
    </row>
    <row r="2242" spans="1:2">
      <c r="A2242">
        <v>707367988</v>
      </c>
    </row>
    <row r="2243" spans="1:2">
      <c r="A2243" t="s">
        <v>1127</v>
      </c>
    </row>
    <row r="2244" spans="1:2">
      <c r="A2244">
        <v>707367988</v>
      </c>
    </row>
    <row r="2245" spans="1:2">
      <c r="A2245" t="s">
        <v>1128</v>
      </c>
    </row>
    <row r="2246" spans="1:2">
      <c r="A2246">
        <v>707367988</v>
      </c>
    </row>
    <row r="2247" spans="1:2">
      <c r="A2247" t="s">
        <v>1129</v>
      </c>
    </row>
    <row r="2248" spans="1:2">
      <c r="A2248">
        <v>707367988</v>
      </c>
    </row>
    <row r="2249" spans="1:2">
      <c r="A2249" t="s">
        <v>1130</v>
      </c>
    </row>
    <row r="2250" spans="1:2">
      <c r="A2250">
        <v>707367988</v>
      </c>
    </row>
    <row r="2251" spans="1:2">
      <c r="A2251" s="3" t="s">
        <v>1131</v>
      </c>
      <c r="B2251" s="1">
        <f>2250/2</f>
        <v>1125</v>
      </c>
    </row>
    <row r="2252" spans="1:2">
      <c r="A2252">
        <v>706668097</v>
      </c>
    </row>
    <row r="2253" spans="1:2">
      <c r="A2253" t="s">
        <v>1132</v>
      </c>
    </row>
    <row r="2254" spans="1:2">
      <c r="A2254">
        <v>706668097</v>
      </c>
    </row>
    <row r="2255" spans="1:2">
      <c r="A2255" t="s">
        <v>1133</v>
      </c>
    </row>
    <row r="2256" spans="1:2">
      <c r="A2256">
        <v>706668097</v>
      </c>
    </row>
    <row r="2257" spans="1:1">
      <c r="A2257" t="s">
        <v>1134</v>
      </c>
    </row>
    <row r="2258" spans="1:1">
      <c r="A2258">
        <v>706668097</v>
      </c>
    </row>
    <row r="2259" spans="1:1">
      <c r="A2259" t="s">
        <v>1135</v>
      </c>
    </row>
    <row r="2260" spans="1:1">
      <c r="A2260">
        <v>706668097</v>
      </c>
    </row>
    <row r="2261" spans="1:1">
      <c r="A2261" t="s">
        <v>1136</v>
      </c>
    </row>
    <row r="2262" spans="1:1">
      <c r="A2262">
        <v>706668097</v>
      </c>
    </row>
    <row r="2263" spans="1:1">
      <c r="A2263" t="s">
        <v>1137</v>
      </c>
    </row>
    <row r="2264" spans="1:1">
      <c r="A2264">
        <v>706668097</v>
      </c>
    </row>
    <row r="2265" spans="1:1">
      <c r="A2265" t="s">
        <v>1138</v>
      </c>
    </row>
    <row r="2266" spans="1:1">
      <c r="A2266">
        <v>706668097</v>
      </c>
    </row>
    <row r="2267" spans="1:1">
      <c r="A2267" t="s">
        <v>1139</v>
      </c>
    </row>
    <row r="2268" spans="1:1">
      <c r="A2268">
        <v>706668097</v>
      </c>
    </row>
    <row r="2269" spans="1:1">
      <c r="A2269" t="s">
        <v>1140</v>
      </c>
    </row>
    <row r="2270" spans="1:1">
      <c r="A2270">
        <v>706668097</v>
      </c>
    </row>
    <row r="2271" spans="1:1">
      <c r="A2271" t="s">
        <v>1141</v>
      </c>
    </row>
    <row r="2272" spans="1:1">
      <c r="A2272">
        <v>706668097</v>
      </c>
    </row>
    <row r="2273" spans="1:1">
      <c r="A2273" t="s">
        <v>1142</v>
      </c>
    </row>
    <row r="2274" spans="1:1">
      <c r="A2274">
        <v>706668097</v>
      </c>
    </row>
    <row r="2275" spans="1:1">
      <c r="A2275" t="s">
        <v>1143</v>
      </c>
    </row>
    <row r="2276" spans="1:1">
      <c r="A2276">
        <v>706668097</v>
      </c>
    </row>
    <row r="2277" spans="1:1">
      <c r="A2277" t="s">
        <v>1144</v>
      </c>
    </row>
    <row r="2278" spans="1:1">
      <c r="A2278">
        <v>706668097</v>
      </c>
    </row>
    <row r="2279" spans="1:1">
      <c r="A2279" t="s">
        <v>1145</v>
      </c>
    </row>
    <row r="2280" spans="1:1">
      <c r="A2280">
        <v>706668097</v>
      </c>
    </row>
    <row r="2281" spans="1:1">
      <c r="A2281" t="s">
        <v>1146</v>
      </c>
    </row>
    <row r="2282" spans="1:1">
      <c r="A2282">
        <v>706668097</v>
      </c>
    </row>
    <row r="2283" spans="1:1">
      <c r="A2283" t="s">
        <v>1147</v>
      </c>
    </row>
    <row r="2284" spans="1:1">
      <c r="A2284">
        <v>706668097</v>
      </c>
    </row>
    <row r="2285" spans="1:1">
      <c r="A2285" t="s">
        <v>1148</v>
      </c>
    </row>
    <row r="2286" spans="1:1">
      <c r="A2286">
        <v>706668097</v>
      </c>
    </row>
    <row r="2287" spans="1:1">
      <c r="A2287" t="s">
        <v>1149</v>
      </c>
    </row>
    <row r="2288" spans="1:1">
      <c r="A2288">
        <v>706668097</v>
      </c>
    </row>
    <row r="2289" spans="1:1">
      <c r="A2289" t="s">
        <v>1150</v>
      </c>
    </row>
    <row r="2290" spans="1:1">
      <c r="A2290">
        <v>706668097</v>
      </c>
    </row>
    <row r="2291" spans="1:1">
      <c r="A2291" t="s">
        <v>1151</v>
      </c>
    </row>
    <row r="2292" spans="1:1">
      <c r="A2292">
        <v>706668097</v>
      </c>
    </row>
    <row r="2293" spans="1:1">
      <c r="A2293" t="s">
        <v>1152</v>
      </c>
    </row>
    <row r="2294" spans="1:1">
      <c r="A2294">
        <v>706668097</v>
      </c>
    </row>
    <row r="2295" spans="1:1">
      <c r="A2295" t="s">
        <v>1153</v>
      </c>
    </row>
    <row r="2296" spans="1:1">
      <c r="A2296">
        <v>706668097</v>
      </c>
    </row>
    <row r="2297" spans="1:1">
      <c r="A2297" t="s">
        <v>1154</v>
      </c>
    </row>
    <row r="2298" spans="1:1">
      <c r="A2298">
        <v>706668097</v>
      </c>
    </row>
    <row r="2299" spans="1:1">
      <c r="A2299" t="s">
        <v>1155</v>
      </c>
    </row>
    <row r="2300" spans="1:1">
      <c r="A2300">
        <v>706668097</v>
      </c>
    </row>
    <row r="2301" spans="1:1">
      <c r="A2301" t="s">
        <v>1156</v>
      </c>
    </row>
    <row r="2302" spans="1:1">
      <c r="A2302">
        <v>706668097</v>
      </c>
    </row>
    <row r="2303" spans="1:1">
      <c r="A2303" t="s">
        <v>1157</v>
      </c>
    </row>
    <row r="2304" spans="1:1">
      <c r="A2304">
        <v>706668097</v>
      </c>
    </row>
    <row r="2305" spans="1:1">
      <c r="A2305" t="s">
        <v>1158</v>
      </c>
    </row>
    <row r="2306" spans="1:1">
      <c r="A2306">
        <v>706668097</v>
      </c>
    </row>
    <row r="2307" spans="1:1">
      <c r="A2307" t="s">
        <v>1159</v>
      </c>
    </row>
    <row r="2308" spans="1:1">
      <c r="A2308">
        <v>706668097</v>
      </c>
    </row>
    <row r="2309" spans="1:1">
      <c r="A2309" t="s">
        <v>1160</v>
      </c>
    </row>
    <row r="2310" spans="1:1">
      <c r="A2310">
        <v>706668097</v>
      </c>
    </row>
    <row r="2311" spans="1:1">
      <c r="A2311" t="s">
        <v>1161</v>
      </c>
    </row>
    <row r="2312" spans="1:1">
      <c r="A2312">
        <v>706668097</v>
      </c>
    </row>
    <row r="2313" spans="1:1">
      <c r="A2313" t="s">
        <v>1162</v>
      </c>
    </row>
    <row r="2314" spans="1:1">
      <c r="A2314">
        <v>706668097</v>
      </c>
    </row>
    <row r="2315" spans="1:1">
      <c r="A2315" t="s">
        <v>1163</v>
      </c>
    </row>
    <row r="2316" spans="1:1">
      <c r="A2316">
        <v>706668097</v>
      </c>
    </row>
    <row r="2317" spans="1:1">
      <c r="A2317" t="s">
        <v>1164</v>
      </c>
    </row>
    <row r="2318" spans="1:1">
      <c r="A2318">
        <v>706668097</v>
      </c>
    </row>
    <row r="2319" spans="1:1">
      <c r="A2319" t="s">
        <v>1165</v>
      </c>
    </row>
    <row r="2320" spans="1:1">
      <c r="A2320">
        <v>706668097</v>
      </c>
    </row>
    <row r="2321" spans="1:1">
      <c r="A2321" t="s">
        <v>1166</v>
      </c>
    </row>
    <row r="2322" spans="1:1">
      <c r="A2322">
        <v>706668097</v>
      </c>
    </row>
    <row r="2323" spans="1:1">
      <c r="A2323" t="s">
        <v>1167</v>
      </c>
    </row>
    <row r="2324" spans="1:1">
      <c r="A2324">
        <v>706668097</v>
      </c>
    </row>
    <row r="2325" spans="1:1">
      <c r="A2325" t="s">
        <v>1168</v>
      </c>
    </row>
    <row r="2326" spans="1:1">
      <c r="A2326">
        <v>706668097</v>
      </c>
    </row>
    <row r="2327" spans="1:1">
      <c r="A2327" t="s">
        <v>1169</v>
      </c>
    </row>
    <row r="2328" spans="1:1">
      <c r="A2328">
        <v>706668097</v>
      </c>
    </row>
    <row r="2329" spans="1:1">
      <c r="A2329" t="s">
        <v>1170</v>
      </c>
    </row>
    <row r="2330" spans="1:1">
      <c r="A2330">
        <v>706668097</v>
      </c>
    </row>
    <row r="2331" spans="1:1">
      <c r="A2331" t="s">
        <v>1171</v>
      </c>
    </row>
    <row r="2332" spans="1:1">
      <c r="A2332">
        <v>706668097</v>
      </c>
    </row>
    <row r="2333" spans="1:1">
      <c r="A2333" t="s">
        <v>1172</v>
      </c>
    </row>
    <row r="2334" spans="1:1">
      <c r="A2334">
        <v>706668097</v>
      </c>
    </row>
    <row r="2335" spans="1:1">
      <c r="A2335" t="s">
        <v>1173</v>
      </c>
    </row>
    <row r="2336" spans="1:1">
      <c r="A2336">
        <v>706668097</v>
      </c>
    </row>
    <row r="2337" spans="1:1">
      <c r="A2337" t="s">
        <v>1174</v>
      </c>
    </row>
    <row r="2338" spans="1:1">
      <c r="A2338">
        <v>706668097</v>
      </c>
    </row>
    <row r="2339" spans="1:1">
      <c r="A2339" t="s">
        <v>1175</v>
      </c>
    </row>
    <row r="2340" spans="1:1">
      <c r="A2340">
        <v>706668097</v>
      </c>
    </row>
    <row r="2341" spans="1:1">
      <c r="A2341" t="s">
        <v>1176</v>
      </c>
    </row>
    <row r="2342" spans="1:1">
      <c r="A2342">
        <v>706668097</v>
      </c>
    </row>
    <row r="2343" spans="1:1">
      <c r="A2343" t="s">
        <v>1177</v>
      </c>
    </row>
    <row r="2344" spans="1:1">
      <c r="A2344">
        <v>706668097</v>
      </c>
    </row>
    <row r="2345" spans="1:1">
      <c r="A2345" t="s">
        <v>1178</v>
      </c>
    </row>
    <row r="2346" spans="1:1">
      <c r="A2346">
        <v>706668097</v>
      </c>
    </row>
    <row r="2347" spans="1:1">
      <c r="A2347" t="s">
        <v>1179</v>
      </c>
    </row>
    <row r="2348" spans="1:1">
      <c r="A2348">
        <v>706668097</v>
      </c>
    </row>
    <row r="2349" spans="1:1">
      <c r="A2349" t="s">
        <v>1180</v>
      </c>
    </row>
    <row r="2350" spans="1:1">
      <c r="A2350">
        <v>706668097</v>
      </c>
    </row>
    <row r="2351" spans="1:1">
      <c r="A2351" t="s">
        <v>1181</v>
      </c>
    </row>
    <row r="2352" spans="1:1">
      <c r="A2352">
        <v>706668097</v>
      </c>
    </row>
    <row r="2353" spans="1:1">
      <c r="A2353" t="s">
        <v>1182</v>
      </c>
    </row>
    <row r="2354" spans="1:1">
      <c r="A2354">
        <v>706668097</v>
      </c>
    </row>
    <row r="2355" spans="1:1">
      <c r="A2355" t="s">
        <v>1183</v>
      </c>
    </row>
    <row r="2356" spans="1:1">
      <c r="A2356">
        <v>706668097</v>
      </c>
    </row>
    <row r="2357" spans="1:1">
      <c r="A2357" t="s">
        <v>1184</v>
      </c>
    </row>
    <row r="2358" spans="1:1">
      <c r="A2358">
        <v>706668097</v>
      </c>
    </row>
    <row r="2359" spans="1:1">
      <c r="A2359" t="s">
        <v>1185</v>
      </c>
    </row>
    <row r="2360" spans="1:1">
      <c r="A2360">
        <v>706668097</v>
      </c>
    </row>
    <row r="2361" spans="1:1">
      <c r="A2361" t="s">
        <v>1186</v>
      </c>
    </row>
    <row r="2362" spans="1:1">
      <c r="A2362">
        <v>706668097</v>
      </c>
    </row>
    <row r="2363" spans="1:1">
      <c r="A2363" t="s">
        <v>1187</v>
      </c>
    </row>
    <row r="2364" spans="1:1">
      <c r="A2364">
        <v>706668097</v>
      </c>
    </row>
    <row r="2365" spans="1:1">
      <c r="A2365" t="s">
        <v>1188</v>
      </c>
    </row>
    <row r="2366" spans="1:1">
      <c r="A2366">
        <v>706668097</v>
      </c>
    </row>
    <row r="2367" spans="1:1">
      <c r="A2367" t="s">
        <v>1189</v>
      </c>
    </row>
    <row r="2368" spans="1:1">
      <c r="A2368">
        <v>706668097</v>
      </c>
    </row>
    <row r="2369" spans="1:1">
      <c r="A2369" t="s">
        <v>1190</v>
      </c>
    </row>
    <row r="2370" spans="1:1">
      <c r="A2370">
        <v>706668097</v>
      </c>
    </row>
    <row r="2371" spans="1:1">
      <c r="A2371" t="s">
        <v>1191</v>
      </c>
    </row>
    <row r="2372" spans="1:1">
      <c r="A2372">
        <v>706668097</v>
      </c>
    </row>
    <row r="2373" spans="1:1">
      <c r="A2373" t="s">
        <v>1192</v>
      </c>
    </row>
    <row r="2374" spans="1:1">
      <c r="A2374">
        <v>706668097</v>
      </c>
    </row>
    <row r="2375" spans="1:1">
      <c r="A2375" t="s">
        <v>1193</v>
      </c>
    </row>
    <row r="2376" spans="1:1">
      <c r="A2376">
        <v>706668097</v>
      </c>
    </row>
    <row r="2377" spans="1:1">
      <c r="A2377" t="s">
        <v>1194</v>
      </c>
    </row>
    <row r="2378" spans="1:1">
      <c r="A2378">
        <v>706668097</v>
      </c>
    </row>
    <row r="2379" spans="1:1">
      <c r="A2379" t="s">
        <v>1195</v>
      </c>
    </row>
    <row r="2380" spans="1:1">
      <c r="A2380">
        <v>706668097</v>
      </c>
    </row>
    <row r="2381" spans="1:1">
      <c r="A2381" t="s">
        <v>1196</v>
      </c>
    </row>
    <row r="2382" spans="1:1">
      <c r="A2382">
        <v>706668097</v>
      </c>
    </row>
    <row r="2383" spans="1:1">
      <c r="A2383" t="s">
        <v>1197</v>
      </c>
    </row>
    <row r="2384" spans="1:1">
      <c r="A2384">
        <v>706668097</v>
      </c>
    </row>
    <row r="2385" spans="1:1">
      <c r="A2385" t="s">
        <v>1198</v>
      </c>
    </row>
    <row r="2386" spans="1:1">
      <c r="A2386">
        <v>706668097</v>
      </c>
    </row>
    <row r="2387" spans="1:1">
      <c r="A2387" t="s">
        <v>1199</v>
      </c>
    </row>
    <row r="2388" spans="1:1">
      <c r="A2388">
        <v>706668097</v>
      </c>
    </row>
    <row r="2389" spans="1:1">
      <c r="A2389" t="s">
        <v>1200</v>
      </c>
    </row>
    <row r="2390" spans="1:1">
      <c r="A2390">
        <v>706668097</v>
      </c>
    </row>
    <row r="2391" spans="1:1">
      <c r="A2391" t="s">
        <v>1201</v>
      </c>
    </row>
    <row r="2392" spans="1:1">
      <c r="A2392">
        <v>706668097</v>
      </c>
    </row>
    <row r="2393" spans="1:1">
      <c r="A2393" t="s">
        <v>1202</v>
      </c>
    </row>
    <row r="2394" spans="1:1">
      <c r="A2394">
        <v>706668097</v>
      </c>
    </row>
    <row r="2395" spans="1:1">
      <c r="A2395" t="s">
        <v>1203</v>
      </c>
    </row>
    <row r="2396" spans="1:1">
      <c r="A2396">
        <v>706668097</v>
      </c>
    </row>
    <row r="2397" spans="1:1">
      <c r="A2397" t="s">
        <v>1204</v>
      </c>
    </row>
    <row r="2398" spans="1:1">
      <c r="A2398">
        <v>706668097</v>
      </c>
    </row>
    <row r="2399" spans="1:1">
      <c r="A2399" t="s">
        <v>1205</v>
      </c>
    </row>
    <row r="2400" spans="1:1">
      <c r="A2400">
        <v>706668097</v>
      </c>
    </row>
    <row r="2401" spans="1:1">
      <c r="A2401" t="s">
        <v>1206</v>
      </c>
    </row>
    <row r="2402" spans="1:1">
      <c r="A2402">
        <v>706668097</v>
      </c>
    </row>
    <row r="2403" spans="1:1">
      <c r="A2403" t="s">
        <v>1207</v>
      </c>
    </row>
    <row r="2404" spans="1:1">
      <c r="A2404">
        <v>706668097</v>
      </c>
    </row>
    <row r="2405" spans="1:1">
      <c r="A2405" t="s">
        <v>1208</v>
      </c>
    </row>
    <row r="2406" spans="1:1">
      <c r="A2406">
        <v>706668097</v>
      </c>
    </row>
    <row r="2407" spans="1:1">
      <c r="A2407" t="s">
        <v>1209</v>
      </c>
    </row>
    <row r="2408" spans="1:1">
      <c r="A2408">
        <v>706668097</v>
      </c>
    </row>
    <row r="2409" spans="1:1">
      <c r="A2409" t="s">
        <v>1210</v>
      </c>
    </row>
    <row r="2410" spans="1:1">
      <c r="A2410">
        <v>706668097</v>
      </c>
    </row>
    <row r="2411" spans="1:1">
      <c r="A2411" t="s">
        <v>1211</v>
      </c>
    </row>
    <row r="2412" spans="1:1">
      <c r="A2412">
        <v>706668097</v>
      </c>
    </row>
    <row r="2413" spans="1:1">
      <c r="A2413" t="s">
        <v>1212</v>
      </c>
    </row>
    <row r="2414" spans="1:1">
      <c r="A2414">
        <v>706668097</v>
      </c>
    </row>
    <row r="2415" spans="1:1">
      <c r="A2415" t="s">
        <v>1213</v>
      </c>
    </row>
    <row r="2416" spans="1:1">
      <c r="A2416">
        <v>706668097</v>
      </c>
    </row>
    <row r="2417" spans="1:1">
      <c r="A2417" t="s">
        <v>1214</v>
      </c>
    </row>
    <row r="2418" spans="1:1">
      <c r="A2418">
        <v>706668097</v>
      </c>
    </row>
    <row r="2419" spans="1:1">
      <c r="A2419" t="s">
        <v>1215</v>
      </c>
    </row>
    <row r="2420" spans="1:1">
      <c r="A2420">
        <v>706668097</v>
      </c>
    </row>
    <row r="2421" spans="1:1">
      <c r="A2421" t="s">
        <v>1216</v>
      </c>
    </row>
    <row r="2422" spans="1:1">
      <c r="A2422">
        <v>706668097</v>
      </c>
    </row>
    <row r="2423" spans="1:1">
      <c r="A2423" t="s">
        <v>1217</v>
      </c>
    </row>
    <row r="2424" spans="1:1">
      <c r="A2424">
        <v>706668097</v>
      </c>
    </row>
    <row r="2425" spans="1:1">
      <c r="A2425" t="s">
        <v>1218</v>
      </c>
    </row>
    <row r="2426" spans="1:1">
      <c r="A2426">
        <v>706668097</v>
      </c>
    </row>
    <row r="2427" spans="1:1">
      <c r="A2427" t="s">
        <v>1219</v>
      </c>
    </row>
    <row r="2428" spans="1:1">
      <c r="A2428">
        <v>706668097</v>
      </c>
    </row>
    <row r="2429" spans="1:1">
      <c r="A2429" t="s">
        <v>1220</v>
      </c>
    </row>
    <row r="2430" spans="1:1">
      <c r="A2430">
        <v>706668097</v>
      </c>
    </row>
    <row r="2431" spans="1:1">
      <c r="A2431" t="s">
        <v>1221</v>
      </c>
    </row>
    <row r="2432" spans="1:1">
      <c r="A2432">
        <v>706668097</v>
      </c>
    </row>
    <row r="2433" spans="1:1">
      <c r="A2433" t="s">
        <v>1222</v>
      </c>
    </row>
    <row r="2434" spans="1:1">
      <c r="A2434">
        <v>706668097</v>
      </c>
    </row>
    <row r="2435" spans="1:1">
      <c r="A2435" t="s">
        <v>1223</v>
      </c>
    </row>
    <row r="2436" spans="1:1">
      <c r="A2436">
        <v>706668097</v>
      </c>
    </row>
    <row r="2437" spans="1:1">
      <c r="A2437" t="s">
        <v>1224</v>
      </c>
    </row>
    <row r="2438" spans="1:1">
      <c r="A2438">
        <v>706668097</v>
      </c>
    </row>
    <row r="2439" spans="1:1">
      <c r="A2439" t="s">
        <v>1225</v>
      </c>
    </row>
    <row r="2440" spans="1:1">
      <c r="A2440">
        <v>706668097</v>
      </c>
    </row>
    <row r="2441" spans="1:1">
      <c r="A2441" t="s">
        <v>1226</v>
      </c>
    </row>
    <row r="2442" spans="1:1">
      <c r="A2442">
        <v>706668097</v>
      </c>
    </row>
    <row r="2443" spans="1:1">
      <c r="A2443" t="s">
        <v>1227</v>
      </c>
    </row>
    <row r="2444" spans="1:1">
      <c r="A2444">
        <v>706668097</v>
      </c>
    </row>
    <row r="2445" spans="1:1">
      <c r="A2445" t="s">
        <v>1228</v>
      </c>
    </row>
    <row r="2446" spans="1:1">
      <c r="A2446">
        <v>706668097</v>
      </c>
    </row>
    <row r="2447" spans="1:1">
      <c r="A2447" t="s">
        <v>1229</v>
      </c>
    </row>
    <row r="2448" spans="1:1">
      <c r="A2448">
        <v>706668097</v>
      </c>
    </row>
    <row r="2449" spans="1:1">
      <c r="A2449" t="s">
        <v>1230</v>
      </c>
    </row>
    <row r="2450" spans="1:1">
      <c r="A2450">
        <v>706668097</v>
      </c>
    </row>
    <row r="2451" spans="1:1">
      <c r="A2451" t="s">
        <v>1231</v>
      </c>
    </row>
    <row r="2452" spans="1:1">
      <c r="A2452">
        <v>706668097</v>
      </c>
    </row>
    <row r="2453" spans="1:1">
      <c r="A2453" t="s">
        <v>1232</v>
      </c>
    </row>
    <row r="2454" spans="1:1">
      <c r="A2454">
        <v>706668097</v>
      </c>
    </row>
    <row r="2455" spans="1:1">
      <c r="A2455" t="s">
        <v>1233</v>
      </c>
    </row>
    <row r="2456" spans="1:1">
      <c r="A2456">
        <v>706668097</v>
      </c>
    </row>
    <row r="2457" spans="1:1">
      <c r="A2457" t="s">
        <v>1234</v>
      </c>
    </row>
    <row r="2458" spans="1:1">
      <c r="A2458">
        <v>706668097</v>
      </c>
    </row>
    <row r="2459" spans="1:1">
      <c r="A2459" t="s">
        <v>1235</v>
      </c>
    </row>
    <row r="2460" spans="1:1">
      <c r="A2460">
        <v>706668097</v>
      </c>
    </row>
    <row r="2461" spans="1:1">
      <c r="A2461" t="s">
        <v>1236</v>
      </c>
    </row>
    <row r="2462" spans="1:1">
      <c r="A2462">
        <v>706668097</v>
      </c>
    </row>
    <row r="2463" spans="1:1">
      <c r="A2463" t="s">
        <v>1237</v>
      </c>
    </row>
    <row r="2464" spans="1:1">
      <c r="A2464">
        <v>706668097</v>
      </c>
    </row>
    <row r="2465" spans="1:3">
      <c r="A2465" t="s">
        <v>1238</v>
      </c>
    </row>
    <row r="2466" spans="1:3">
      <c r="A2466">
        <v>706668097</v>
      </c>
    </row>
    <row r="2467" spans="1:3">
      <c r="A2467" t="s">
        <v>1239</v>
      </c>
    </row>
    <row r="2468" spans="1:3">
      <c r="A2468">
        <v>706668097</v>
      </c>
    </row>
    <row r="2469" spans="1:3">
      <c r="A2469" t="s">
        <v>1240</v>
      </c>
    </row>
    <row r="2470" spans="1:3">
      <c r="A2470">
        <v>706668097</v>
      </c>
    </row>
    <row r="2471" spans="1:3">
      <c r="A2471" t="s">
        <v>1241</v>
      </c>
    </row>
    <row r="2472" spans="1:3">
      <c r="A2472">
        <v>706668097</v>
      </c>
    </row>
    <row r="2473" spans="1:3">
      <c r="A2473" s="3" t="s">
        <v>1242</v>
      </c>
      <c r="B2473" s="1">
        <f>2472/2</f>
        <v>1236</v>
      </c>
      <c r="C2473" s="6">
        <v>0.83194444444444438</v>
      </c>
    </row>
    <row r="2474" spans="1:3">
      <c r="C2474" s="10" t="s">
        <v>1774</v>
      </c>
    </row>
    <row r="2476" spans="1:3">
      <c r="A2476" t="s">
        <v>1775</v>
      </c>
      <c r="B2476" s="1">
        <v>84001457</v>
      </c>
    </row>
    <row r="2477" spans="1:3">
      <c r="A2477" t="s">
        <v>1776</v>
      </c>
      <c r="B2477" s="1">
        <v>84001457</v>
      </c>
    </row>
    <row r="2478" spans="1:3">
      <c r="A2478" t="s">
        <v>1777</v>
      </c>
      <c r="B2478" s="1">
        <v>75</v>
      </c>
    </row>
    <row r="2479" spans="1:3">
      <c r="A2479" t="s">
        <v>1778</v>
      </c>
      <c r="B2479" s="1">
        <v>1236</v>
      </c>
    </row>
    <row r="2480" spans="1:3">
      <c r="A2480" t="s">
        <v>1779</v>
      </c>
      <c r="B2480" s="1">
        <v>7042</v>
      </c>
    </row>
    <row r="2483" spans="1:2">
      <c r="A2483" t="s">
        <v>1780</v>
      </c>
      <c r="B2483" s="2">
        <v>40698</v>
      </c>
    </row>
    <row r="2484" spans="1:2">
      <c r="A2484" t="s">
        <v>1781</v>
      </c>
      <c r="B2484" s="12" t="s">
        <v>1787</v>
      </c>
    </row>
    <row r="2485" spans="1:2">
      <c r="A2485" t="s">
        <v>1782</v>
      </c>
      <c r="B2485" s="2">
        <v>40700</v>
      </c>
    </row>
    <row r="2486" spans="1:2">
      <c r="A2486" t="s">
        <v>1783</v>
      </c>
      <c r="B2486" s="12" t="s">
        <v>1788</v>
      </c>
    </row>
    <row r="2489" spans="1:2">
      <c r="A2489">
        <v>285128.08</v>
      </c>
    </row>
    <row r="2493" spans="1:2">
      <c r="A2493" t="s">
        <v>1784</v>
      </c>
    </row>
    <row r="2494" spans="1:2">
      <c r="A2494" t="s">
        <v>1785</v>
      </c>
    </row>
    <row r="2495" spans="1:2">
      <c r="A2495" t="s">
        <v>1789</v>
      </c>
    </row>
    <row r="2496" spans="1:2">
      <c r="A2496" t="s">
        <v>1790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86"/>
  <sheetViews>
    <sheetView topLeftCell="A1062" zoomScaleNormal="100" workbookViewId="0">
      <selection activeCell="A1082" sqref="A1082"/>
    </sheetView>
  </sheetViews>
  <sheetFormatPr defaultRowHeight="15"/>
  <cols>
    <col min="1" max="1" width="24.42578125" style="7" bestFit="1" customWidth="1"/>
    <col min="2" max="2" width="12.42578125" customWidth="1"/>
    <col min="3" max="3" width="16.140625" customWidth="1"/>
  </cols>
  <sheetData>
    <row r="1" spans="1:3">
      <c r="A1" s="11">
        <v>20645</v>
      </c>
      <c r="B1" s="1">
        <v>84001458</v>
      </c>
      <c r="C1" s="1" t="s">
        <v>1</v>
      </c>
    </row>
    <row r="2" spans="1:3">
      <c r="A2">
        <v>707570342</v>
      </c>
      <c r="B2" s="2">
        <v>40700</v>
      </c>
      <c r="C2" s="1">
        <v>1246958</v>
      </c>
    </row>
    <row r="3" spans="1:3">
      <c r="A3" t="s">
        <v>1243</v>
      </c>
      <c r="B3" s="1" t="s">
        <v>1786</v>
      </c>
      <c r="C3" s="1" t="s">
        <v>2</v>
      </c>
    </row>
    <row r="4" spans="1:3">
      <c r="A4">
        <v>707570342</v>
      </c>
      <c r="B4" s="5">
        <v>0.83680555555555547</v>
      </c>
      <c r="C4" s="1">
        <v>4</v>
      </c>
    </row>
    <row r="5" spans="1:3">
      <c r="A5" s="7" t="s">
        <v>1244</v>
      </c>
    </row>
    <row r="6" spans="1:3">
      <c r="A6" s="7">
        <v>707570342</v>
      </c>
    </row>
    <row r="7" spans="1:3">
      <c r="A7" s="7" t="s">
        <v>1245</v>
      </c>
    </row>
    <row r="8" spans="1:3">
      <c r="A8" s="7">
        <v>707570342</v>
      </c>
    </row>
    <row r="9" spans="1:3">
      <c r="A9" s="7" t="s">
        <v>1246</v>
      </c>
    </row>
    <row r="10" spans="1:3">
      <c r="A10" s="7">
        <v>707570342</v>
      </c>
    </row>
    <row r="11" spans="1:3">
      <c r="A11" s="7" t="s">
        <v>1247</v>
      </c>
    </row>
    <row r="12" spans="1:3">
      <c r="A12" s="7">
        <v>707570342</v>
      </c>
    </row>
    <row r="13" spans="1:3">
      <c r="A13" s="7" t="s">
        <v>1248</v>
      </c>
    </row>
    <row r="14" spans="1:3">
      <c r="A14" s="7">
        <v>707570342</v>
      </c>
    </row>
    <row r="15" spans="1:3">
      <c r="A15" s="7" t="s">
        <v>1249</v>
      </c>
    </row>
    <row r="16" spans="1:3">
      <c r="A16" s="7">
        <v>707570342</v>
      </c>
    </row>
    <row r="17" spans="1:2">
      <c r="A17" s="7" t="s">
        <v>1250</v>
      </c>
    </row>
    <row r="18" spans="1:2">
      <c r="A18" s="7">
        <v>707570342</v>
      </c>
    </row>
    <row r="19" spans="1:2">
      <c r="A19" s="7" t="s">
        <v>1251</v>
      </c>
    </row>
    <row r="20" spans="1:2">
      <c r="A20" s="7">
        <v>707570342</v>
      </c>
    </row>
    <row r="21" spans="1:2">
      <c r="A21" s="3" t="s">
        <v>1252</v>
      </c>
      <c r="B21">
        <f>20/2</f>
        <v>10</v>
      </c>
    </row>
    <row r="22" spans="1:2">
      <c r="A22" s="7">
        <v>707570201</v>
      </c>
    </row>
    <row r="23" spans="1:2">
      <c r="A23" s="7" t="s">
        <v>1253</v>
      </c>
    </row>
    <row r="24" spans="1:2">
      <c r="A24" s="7">
        <v>707570201</v>
      </c>
    </row>
    <row r="25" spans="1:2">
      <c r="A25" s="7" t="s">
        <v>1254</v>
      </c>
    </row>
    <row r="26" spans="1:2">
      <c r="A26" s="7">
        <v>707570201</v>
      </c>
    </row>
    <row r="27" spans="1:2">
      <c r="A27" s="7" t="s">
        <v>1255</v>
      </c>
    </row>
    <row r="28" spans="1:2">
      <c r="A28" s="7">
        <v>707570201</v>
      </c>
    </row>
    <row r="29" spans="1:2">
      <c r="A29" s="7" t="s">
        <v>1256</v>
      </c>
    </row>
    <row r="30" spans="1:2">
      <c r="A30" s="7">
        <v>707570201</v>
      </c>
    </row>
    <row r="31" spans="1:2">
      <c r="A31" s="7" t="s">
        <v>1257</v>
      </c>
    </row>
    <row r="32" spans="1:2">
      <c r="A32" s="7">
        <v>707570201</v>
      </c>
    </row>
    <row r="33" spans="1:1">
      <c r="A33" s="7" t="s">
        <v>1258</v>
      </c>
    </row>
    <row r="34" spans="1:1">
      <c r="A34" s="7">
        <v>707570201</v>
      </c>
    </row>
    <row r="35" spans="1:1">
      <c r="A35" s="7" t="s">
        <v>1259</v>
      </c>
    </row>
    <row r="36" spans="1:1">
      <c r="A36" s="7">
        <v>707570201</v>
      </c>
    </row>
    <row r="37" spans="1:1">
      <c r="A37" s="7" t="s">
        <v>1260</v>
      </c>
    </row>
    <row r="38" spans="1:1">
      <c r="A38" s="7">
        <v>707570201</v>
      </c>
    </row>
    <row r="39" spans="1:1">
      <c r="A39" s="7" t="s">
        <v>1261</v>
      </c>
    </row>
    <row r="40" spans="1:1">
      <c r="A40" s="7">
        <v>707570201</v>
      </c>
    </row>
    <row r="41" spans="1:1">
      <c r="A41" s="7" t="s">
        <v>1262</v>
      </c>
    </row>
    <row r="42" spans="1:1">
      <c r="A42" s="7">
        <v>707366584</v>
      </c>
    </row>
    <row r="43" spans="1:1">
      <c r="A43" s="7" t="s">
        <v>1263</v>
      </c>
    </row>
    <row r="44" spans="1:1">
      <c r="A44" s="7">
        <v>707366584</v>
      </c>
    </row>
    <row r="45" spans="1:1">
      <c r="A45" s="7" t="s">
        <v>1264</v>
      </c>
    </row>
    <row r="46" spans="1:1">
      <c r="A46" s="7">
        <v>707366584</v>
      </c>
    </row>
    <row r="47" spans="1:1">
      <c r="A47" s="7" t="s">
        <v>1265</v>
      </c>
    </row>
    <row r="48" spans="1:1">
      <c r="A48" s="7">
        <v>702037164</v>
      </c>
    </row>
    <row r="49" spans="1:1">
      <c r="A49" s="7" t="s">
        <v>1266</v>
      </c>
    </row>
    <row r="50" spans="1:1">
      <c r="A50" s="7">
        <v>707366584</v>
      </c>
    </row>
    <row r="51" spans="1:1">
      <c r="A51" s="7" t="s">
        <v>1267</v>
      </c>
    </row>
    <row r="52" spans="1:1">
      <c r="A52" s="7">
        <v>707366584</v>
      </c>
    </row>
    <row r="53" spans="1:1">
      <c r="A53" s="7" t="s">
        <v>1268</v>
      </c>
    </row>
    <row r="54" spans="1:1">
      <c r="A54" s="7">
        <v>707366584</v>
      </c>
    </row>
    <row r="55" spans="1:1">
      <c r="A55" s="7" t="s">
        <v>1269</v>
      </c>
    </row>
    <row r="56" spans="1:1">
      <c r="A56" s="7">
        <v>707366584</v>
      </c>
    </row>
    <row r="57" spans="1:1">
      <c r="A57" s="7" t="s">
        <v>1270</v>
      </c>
    </row>
    <row r="58" spans="1:1">
      <c r="A58" s="7">
        <v>707366584</v>
      </c>
    </row>
    <row r="59" spans="1:1">
      <c r="A59" s="7" t="s">
        <v>1271</v>
      </c>
    </row>
    <row r="60" spans="1:1">
      <c r="A60" s="7">
        <v>707366584</v>
      </c>
    </row>
    <row r="61" spans="1:1">
      <c r="A61" s="7" t="s">
        <v>1272</v>
      </c>
    </row>
    <row r="62" spans="1:1">
      <c r="A62" s="7">
        <v>706663353</v>
      </c>
    </row>
    <row r="63" spans="1:1">
      <c r="A63" s="7" t="s">
        <v>1273</v>
      </c>
    </row>
    <row r="64" spans="1:1">
      <c r="A64" s="7">
        <v>708035105</v>
      </c>
    </row>
    <row r="65" spans="1:1">
      <c r="A65" s="7" t="s">
        <v>1274</v>
      </c>
    </row>
    <row r="66" spans="1:1">
      <c r="A66" s="7">
        <v>708035105</v>
      </c>
    </row>
    <row r="67" spans="1:1">
      <c r="A67" s="7" t="s">
        <v>1275</v>
      </c>
    </row>
    <row r="68" spans="1:1">
      <c r="A68" s="7">
        <v>708035105</v>
      </c>
    </row>
    <row r="69" spans="1:1">
      <c r="A69" s="7" t="s">
        <v>1276</v>
      </c>
    </row>
    <row r="70" spans="1:1">
      <c r="A70" s="7">
        <v>708035105</v>
      </c>
    </row>
    <row r="71" spans="1:1">
      <c r="A71" s="7" t="s">
        <v>1277</v>
      </c>
    </row>
    <row r="72" spans="1:1">
      <c r="A72" s="7">
        <v>707012410</v>
      </c>
    </row>
    <row r="73" spans="1:1">
      <c r="A73" s="7" t="s">
        <v>1278</v>
      </c>
    </row>
    <row r="74" spans="1:1">
      <c r="A74" s="7">
        <v>707692211</v>
      </c>
    </row>
    <row r="75" spans="1:1">
      <c r="A75" s="7" t="s">
        <v>1279</v>
      </c>
    </row>
    <row r="76" spans="1:1">
      <c r="A76" s="7">
        <v>695133335</v>
      </c>
    </row>
    <row r="77" spans="1:1">
      <c r="A77" s="7" t="s">
        <v>1280</v>
      </c>
    </row>
    <row r="78" spans="1:1">
      <c r="A78" s="7">
        <v>706898793</v>
      </c>
    </row>
    <row r="79" spans="1:1">
      <c r="A79" s="7" t="s">
        <v>1281</v>
      </c>
    </row>
    <row r="80" spans="1:1">
      <c r="A80" s="7">
        <v>707571498</v>
      </c>
    </row>
    <row r="81" spans="1:2">
      <c r="A81" s="7" t="s">
        <v>1282</v>
      </c>
    </row>
    <row r="82" spans="1:2">
      <c r="A82" s="7">
        <v>700900884</v>
      </c>
    </row>
    <row r="83" spans="1:2">
      <c r="A83" s="7" t="s">
        <v>1283</v>
      </c>
    </row>
    <row r="84" spans="1:2">
      <c r="A84" s="7">
        <v>706326902</v>
      </c>
    </row>
    <row r="85" spans="1:2">
      <c r="A85" s="7" t="s">
        <v>1284</v>
      </c>
    </row>
    <row r="86" spans="1:2">
      <c r="A86" s="7">
        <v>707571498</v>
      </c>
    </row>
    <row r="87" spans="1:2">
      <c r="A87" s="7" t="s">
        <v>1285</v>
      </c>
    </row>
    <row r="88" spans="1:2">
      <c r="A88" s="7">
        <v>707012410</v>
      </c>
    </row>
    <row r="89" spans="1:2">
      <c r="A89" s="3" t="s">
        <v>1286</v>
      </c>
      <c r="B89">
        <f>88/2</f>
        <v>44</v>
      </c>
    </row>
    <row r="90" spans="1:2">
      <c r="A90" s="7">
        <v>706669202</v>
      </c>
    </row>
    <row r="91" spans="1:2">
      <c r="A91" s="7" t="s">
        <v>1287</v>
      </c>
    </row>
    <row r="92" spans="1:2">
      <c r="A92" s="7">
        <v>706669202</v>
      </c>
    </row>
    <row r="93" spans="1:2">
      <c r="A93" s="7" t="s">
        <v>1288</v>
      </c>
    </row>
    <row r="94" spans="1:2">
      <c r="A94" s="7">
        <v>706669202</v>
      </c>
    </row>
    <row r="95" spans="1:2">
      <c r="A95" s="7" t="s">
        <v>1289</v>
      </c>
    </row>
    <row r="96" spans="1:2">
      <c r="A96" s="7">
        <v>706669202</v>
      </c>
    </row>
    <row r="97" spans="1:1">
      <c r="A97" s="7" t="s">
        <v>1290</v>
      </c>
    </row>
    <row r="98" spans="1:1">
      <c r="A98" s="7">
        <v>706669202</v>
      </c>
    </row>
    <row r="99" spans="1:1">
      <c r="A99" s="7" t="s">
        <v>1291</v>
      </c>
    </row>
    <row r="100" spans="1:1">
      <c r="A100" s="7">
        <v>706669202</v>
      </c>
    </row>
    <row r="101" spans="1:1">
      <c r="A101" s="7" t="s">
        <v>1292</v>
      </c>
    </row>
    <row r="102" spans="1:1">
      <c r="A102" s="7">
        <v>706669202</v>
      </c>
    </row>
    <row r="103" spans="1:1">
      <c r="A103" s="7" t="s">
        <v>1293</v>
      </c>
    </row>
    <row r="104" spans="1:1">
      <c r="A104" s="7">
        <v>706669202</v>
      </c>
    </row>
    <row r="105" spans="1:1">
      <c r="A105" s="7" t="s">
        <v>1294</v>
      </c>
    </row>
    <row r="106" spans="1:1">
      <c r="A106" s="7">
        <v>706669202</v>
      </c>
    </row>
    <row r="107" spans="1:1">
      <c r="A107" s="7" t="s">
        <v>1295</v>
      </c>
    </row>
    <row r="108" spans="1:1">
      <c r="A108" s="7">
        <v>706669202</v>
      </c>
    </row>
    <row r="109" spans="1:1">
      <c r="A109" s="7" t="s">
        <v>1296</v>
      </c>
    </row>
    <row r="110" spans="1:1">
      <c r="A110" s="7">
        <v>706669202</v>
      </c>
    </row>
    <row r="111" spans="1:1">
      <c r="A111" s="7" t="s">
        <v>1297</v>
      </c>
    </row>
    <row r="112" spans="1:1">
      <c r="A112" s="7">
        <v>706669202</v>
      </c>
    </row>
    <row r="113" spans="1:1">
      <c r="A113" s="7" t="s">
        <v>1298</v>
      </c>
    </row>
    <row r="114" spans="1:1">
      <c r="A114" s="7">
        <v>706669202</v>
      </c>
    </row>
    <row r="115" spans="1:1">
      <c r="A115" s="7" t="s">
        <v>1299</v>
      </c>
    </row>
    <row r="116" spans="1:1">
      <c r="A116" s="7">
        <v>706669202</v>
      </c>
    </row>
    <row r="117" spans="1:1">
      <c r="A117" s="7" t="s">
        <v>1300</v>
      </c>
    </row>
    <row r="118" spans="1:1">
      <c r="A118" s="7">
        <v>706669202</v>
      </c>
    </row>
    <row r="119" spans="1:1">
      <c r="A119" s="7" t="s">
        <v>1301</v>
      </c>
    </row>
    <row r="120" spans="1:1">
      <c r="A120" s="7">
        <v>706669202</v>
      </c>
    </row>
    <row r="121" spans="1:1">
      <c r="A121" s="7" t="s">
        <v>1302</v>
      </c>
    </row>
    <row r="122" spans="1:1">
      <c r="A122" s="7">
        <v>706669202</v>
      </c>
    </row>
    <row r="123" spans="1:1">
      <c r="A123" s="7" t="s">
        <v>1303</v>
      </c>
    </row>
    <row r="124" spans="1:1">
      <c r="A124" s="7">
        <v>706669202</v>
      </c>
    </row>
    <row r="125" spans="1:1">
      <c r="A125" s="7" t="s">
        <v>1304</v>
      </c>
    </row>
    <row r="126" spans="1:1">
      <c r="A126" s="7">
        <v>706669202</v>
      </c>
    </row>
    <row r="127" spans="1:1">
      <c r="A127" s="7" t="s">
        <v>1305</v>
      </c>
    </row>
    <row r="128" spans="1:1">
      <c r="A128" s="7">
        <v>706669202</v>
      </c>
    </row>
    <row r="129" spans="1:1">
      <c r="A129" s="7" t="s">
        <v>1306</v>
      </c>
    </row>
    <row r="130" spans="1:1">
      <c r="A130" s="7">
        <v>706669202</v>
      </c>
    </row>
    <row r="131" spans="1:1">
      <c r="A131" s="7" t="s">
        <v>1307</v>
      </c>
    </row>
    <row r="132" spans="1:1">
      <c r="A132" s="7">
        <v>706669202</v>
      </c>
    </row>
    <row r="133" spans="1:1">
      <c r="A133" s="7" t="s">
        <v>1308</v>
      </c>
    </row>
    <row r="134" spans="1:1">
      <c r="A134" s="7">
        <v>706669202</v>
      </c>
    </row>
    <row r="135" spans="1:1">
      <c r="A135" s="7" t="s">
        <v>1309</v>
      </c>
    </row>
    <row r="136" spans="1:1">
      <c r="A136" s="7">
        <v>706669202</v>
      </c>
    </row>
    <row r="137" spans="1:1">
      <c r="A137" s="7" t="s">
        <v>1310</v>
      </c>
    </row>
    <row r="138" spans="1:1">
      <c r="A138" s="7">
        <v>706669202</v>
      </c>
    </row>
    <row r="139" spans="1:1">
      <c r="A139" s="7" t="s">
        <v>1311</v>
      </c>
    </row>
    <row r="140" spans="1:1">
      <c r="A140" s="7">
        <v>706669202</v>
      </c>
    </row>
    <row r="141" spans="1:1">
      <c r="A141" s="7" t="s">
        <v>1312</v>
      </c>
    </row>
    <row r="142" spans="1:1">
      <c r="A142" s="7">
        <v>706669202</v>
      </c>
    </row>
    <row r="143" spans="1:1">
      <c r="A143" s="7" t="s">
        <v>1313</v>
      </c>
    </row>
    <row r="144" spans="1:1">
      <c r="A144" s="7">
        <v>706669202</v>
      </c>
    </row>
    <row r="145" spans="1:1">
      <c r="A145" s="7" t="s">
        <v>1314</v>
      </c>
    </row>
    <row r="146" spans="1:1">
      <c r="A146" s="7">
        <v>706669202</v>
      </c>
    </row>
    <row r="147" spans="1:1">
      <c r="A147" s="7" t="s">
        <v>1315</v>
      </c>
    </row>
    <row r="148" spans="1:1">
      <c r="A148" s="7">
        <v>706669202</v>
      </c>
    </row>
    <row r="149" spans="1:1">
      <c r="A149" s="7" t="s">
        <v>1316</v>
      </c>
    </row>
    <row r="150" spans="1:1">
      <c r="A150" s="7">
        <v>706669202</v>
      </c>
    </row>
    <row r="151" spans="1:1">
      <c r="A151" s="7" t="s">
        <v>1317</v>
      </c>
    </row>
    <row r="152" spans="1:1">
      <c r="A152" s="7">
        <v>706669202</v>
      </c>
    </row>
    <row r="153" spans="1:1">
      <c r="A153" s="7" t="s">
        <v>1318</v>
      </c>
    </row>
    <row r="154" spans="1:1">
      <c r="A154" s="7">
        <v>706669202</v>
      </c>
    </row>
    <row r="155" spans="1:1">
      <c r="A155" s="7" t="s">
        <v>1319</v>
      </c>
    </row>
    <row r="156" spans="1:1">
      <c r="A156" s="7">
        <v>706669202</v>
      </c>
    </row>
    <row r="157" spans="1:1">
      <c r="A157" s="7" t="s">
        <v>1320</v>
      </c>
    </row>
    <row r="158" spans="1:1">
      <c r="A158" s="7">
        <v>706669202</v>
      </c>
    </row>
    <row r="159" spans="1:1">
      <c r="A159" s="7" t="s">
        <v>1321</v>
      </c>
    </row>
    <row r="160" spans="1:1">
      <c r="A160" s="7">
        <v>706669202</v>
      </c>
    </row>
    <row r="161" spans="1:1">
      <c r="A161" s="7" t="s">
        <v>1322</v>
      </c>
    </row>
    <row r="162" spans="1:1">
      <c r="A162" s="7">
        <v>706669202</v>
      </c>
    </row>
    <row r="163" spans="1:1">
      <c r="A163" s="7" t="s">
        <v>1323</v>
      </c>
    </row>
    <row r="164" spans="1:1">
      <c r="A164" s="7">
        <v>706669202</v>
      </c>
    </row>
    <row r="165" spans="1:1">
      <c r="A165" s="7" t="s">
        <v>1324</v>
      </c>
    </row>
    <row r="166" spans="1:1">
      <c r="A166" s="7">
        <v>706669202</v>
      </c>
    </row>
    <row r="167" spans="1:1">
      <c r="A167" s="7" t="s">
        <v>1325</v>
      </c>
    </row>
    <row r="168" spans="1:1">
      <c r="A168" s="7">
        <v>706669202</v>
      </c>
    </row>
    <row r="169" spans="1:1">
      <c r="A169" s="7" t="s">
        <v>1326</v>
      </c>
    </row>
    <row r="170" spans="1:1">
      <c r="A170" s="7">
        <v>706669202</v>
      </c>
    </row>
    <row r="171" spans="1:1">
      <c r="A171" s="7" t="s">
        <v>1327</v>
      </c>
    </row>
    <row r="172" spans="1:1">
      <c r="A172" s="7">
        <v>706669202</v>
      </c>
    </row>
    <row r="173" spans="1:1">
      <c r="A173" s="7" t="s">
        <v>1328</v>
      </c>
    </row>
    <row r="174" spans="1:1">
      <c r="A174" s="7">
        <v>706669202</v>
      </c>
    </row>
    <row r="175" spans="1:1">
      <c r="A175" s="7" t="s">
        <v>1329</v>
      </c>
    </row>
    <row r="176" spans="1:1">
      <c r="A176" s="7">
        <v>706669202</v>
      </c>
    </row>
    <row r="177" spans="1:1">
      <c r="A177" s="7" t="s">
        <v>1330</v>
      </c>
    </row>
    <row r="178" spans="1:1">
      <c r="A178" s="7">
        <v>706669202</v>
      </c>
    </row>
    <row r="179" spans="1:1">
      <c r="A179" s="7" t="s">
        <v>1331</v>
      </c>
    </row>
    <row r="180" spans="1:1">
      <c r="A180" s="7">
        <v>706669202</v>
      </c>
    </row>
    <row r="181" spans="1:1">
      <c r="A181" s="7" t="s">
        <v>1332</v>
      </c>
    </row>
    <row r="182" spans="1:1">
      <c r="A182" s="7">
        <v>706669202</v>
      </c>
    </row>
    <row r="183" spans="1:1">
      <c r="A183" s="7" t="s">
        <v>1333</v>
      </c>
    </row>
    <row r="184" spans="1:1">
      <c r="A184" s="7">
        <v>706669202</v>
      </c>
    </row>
    <row r="185" spans="1:1">
      <c r="A185" s="7" t="s">
        <v>1334</v>
      </c>
    </row>
    <row r="186" spans="1:1">
      <c r="A186" s="7">
        <v>706669202</v>
      </c>
    </row>
    <row r="187" spans="1:1">
      <c r="A187" s="7" t="s">
        <v>1335</v>
      </c>
    </row>
    <row r="188" spans="1:1">
      <c r="A188" s="7">
        <v>706669202</v>
      </c>
    </row>
    <row r="189" spans="1:1">
      <c r="A189" s="7" t="s">
        <v>1336</v>
      </c>
    </row>
    <row r="190" spans="1:1">
      <c r="A190" s="7">
        <v>706669202</v>
      </c>
    </row>
    <row r="191" spans="1:1">
      <c r="A191" s="7" t="s">
        <v>1337</v>
      </c>
    </row>
    <row r="192" spans="1:1">
      <c r="A192" s="7">
        <v>706669202</v>
      </c>
    </row>
    <row r="193" spans="1:1">
      <c r="A193" s="7" t="s">
        <v>1338</v>
      </c>
    </row>
    <row r="194" spans="1:1">
      <c r="A194" s="7">
        <v>706669202</v>
      </c>
    </row>
    <row r="195" spans="1:1">
      <c r="A195" s="7" t="s">
        <v>1339</v>
      </c>
    </row>
    <row r="196" spans="1:1">
      <c r="A196" s="7">
        <v>706669202</v>
      </c>
    </row>
    <row r="197" spans="1:1">
      <c r="A197" s="7" t="s">
        <v>1340</v>
      </c>
    </row>
    <row r="198" spans="1:1">
      <c r="A198" s="7">
        <v>706669202</v>
      </c>
    </row>
    <row r="199" spans="1:1">
      <c r="A199" s="7" t="s">
        <v>1341</v>
      </c>
    </row>
    <row r="200" spans="1:1">
      <c r="A200" s="7">
        <v>706669202</v>
      </c>
    </row>
    <row r="201" spans="1:1">
      <c r="A201" s="7" t="s">
        <v>1342</v>
      </c>
    </row>
    <row r="202" spans="1:1">
      <c r="A202" s="7">
        <v>706669202</v>
      </c>
    </row>
    <row r="203" spans="1:1">
      <c r="A203" s="7" t="s">
        <v>1343</v>
      </c>
    </row>
    <row r="204" spans="1:1">
      <c r="A204" s="7">
        <v>706669202</v>
      </c>
    </row>
    <row r="205" spans="1:1">
      <c r="A205" s="7" t="s">
        <v>1344</v>
      </c>
    </row>
    <row r="206" spans="1:1">
      <c r="A206" s="7">
        <v>706669202</v>
      </c>
    </row>
    <row r="207" spans="1:1">
      <c r="A207" s="7" t="s">
        <v>1345</v>
      </c>
    </row>
    <row r="208" spans="1:1">
      <c r="A208" s="7">
        <v>706669202</v>
      </c>
    </row>
    <row r="209" spans="1:1">
      <c r="A209" s="7" t="s">
        <v>1346</v>
      </c>
    </row>
    <row r="210" spans="1:1">
      <c r="A210" s="7">
        <v>706669202</v>
      </c>
    </row>
    <row r="211" spans="1:1">
      <c r="A211" s="7" t="s">
        <v>1347</v>
      </c>
    </row>
    <row r="212" spans="1:1">
      <c r="A212" s="7">
        <v>706669202</v>
      </c>
    </row>
    <row r="213" spans="1:1">
      <c r="A213" s="7" t="s">
        <v>1348</v>
      </c>
    </row>
    <row r="214" spans="1:1">
      <c r="A214" s="7">
        <v>706669202</v>
      </c>
    </row>
    <row r="215" spans="1:1">
      <c r="A215" s="7" t="s">
        <v>1349</v>
      </c>
    </row>
    <row r="216" spans="1:1">
      <c r="A216" s="7">
        <v>706669202</v>
      </c>
    </row>
    <row r="217" spans="1:1">
      <c r="A217" s="7" t="s">
        <v>1350</v>
      </c>
    </row>
    <row r="218" spans="1:1">
      <c r="A218" s="7">
        <v>706669202</v>
      </c>
    </row>
    <row r="219" spans="1:1">
      <c r="A219" s="7" t="s">
        <v>1351</v>
      </c>
    </row>
    <row r="220" spans="1:1">
      <c r="A220" s="7">
        <v>706669202</v>
      </c>
    </row>
    <row r="221" spans="1:1">
      <c r="A221" s="7" t="s">
        <v>1352</v>
      </c>
    </row>
    <row r="222" spans="1:1">
      <c r="A222" s="7">
        <v>706669202</v>
      </c>
    </row>
    <row r="223" spans="1:1">
      <c r="A223" s="7" t="s">
        <v>1353</v>
      </c>
    </row>
    <row r="224" spans="1:1">
      <c r="A224" s="7">
        <v>706669202</v>
      </c>
    </row>
    <row r="225" spans="1:2">
      <c r="A225" s="7" t="s">
        <v>1354</v>
      </c>
    </row>
    <row r="226" spans="1:2">
      <c r="A226" s="7">
        <v>706669202</v>
      </c>
    </row>
    <row r="227" spans="1:2">
      <c r="A227" s="7" t="s">
        <v>1355</v>
      </c>
    </row>
    <row r="228" spans="1:2">
      <c r="A228" s="7">
        <v>706669202</v>
      </c>
    </row>
    <row r="229" spans="1:2">
      <c r="A229" s="7" t="s">
        <v>1356</v>
      </c>
    </row>
    <row r="230" spans="1:2">
      <c r="A230" s="7">
        <v>706669202</v>
      </c>
    </row>
    <row r="231" spans="1:2">
      <c r="A231" s="7" t="s">
        <v>1357</v>
      </c>
    </row>
    <row r="232" spans="1:2">
      <c r="A232" s="7">
        <v>706669202</v>
      </c>
    </row>
    <row r="233" spans="1:2">
      <c r="A233" s="7" t="s">
        <v>1358</v>
      </c>
    </row>
    <row r="234" spans="1:2">
      <c r="A234" s="7">
        <v>706669202</v>
      </c>
    </row>
    <row r="235" spans="1:2">
      <c r="A235" s="7" t="s">
        <v>1359</v>
      </c>
    </row>
    <row r="236" spans="1:2">
      <c r="A236" s="7">
        <v>706669202</v>
      </c>
    </row>
    <row r="237" spans="1:2">
      <c r="A237" s="3" t="s">
        <v>1360</v>
      </c>
      <c r="B237">
        <f>236/2</f>
        <v>118</v>
      </c>
    </row>
    <row r="238" spans="1:2">
      <c r="A238" s="7">
        <v>706669202</v>
      </c>
    </row>
    <row r="239" spans="1:2">
      <c r="A239" s="7" t="s">
        <v>1361</v>
      </c>
    </row>
    <row r="240" spans="1:2">
      <c r="A240" s="7">
        <v>706669202</v>
      </c>
    </row>
    <row r="241" spans="1:1">
      <c r="A241" s="7" t="s">
        <v>1362</v>
      </c>
    </row>
    <row r="242" spans="1:1">
      <c r="A242" s="7">
        <v>706669202</v>
      </c>
    </row>
    <row r="243" spans="1:1">
      <c r="A243" s="7" t="s">
        <v>1363</v>
      </c>
    </row>
    <row r="244" spans="1:1">
      <c r="A244" s="7">
        <v>706669202</v>
      </c>
    </row>
    <row r="245" spans="1:1">
      <c r="A245" s="7" t="s">
        <v>1364</v>
      </c>
    </row>
    <row r="246" spans="1:1">
      <c r="A246" s="7">
        <v>706669202</v>
      </c>
    </row>
    <row r="247" spans="1:1">
      <c r="A247" s="7" t="s">
        <v>1365</v>
      </c>
    </row>
    <row r="248" spans="1:1">
      <c r="A248" s="7">
        <v>706669202</v>
      </c>
    </row>
    <row r="249" spans="1:1">
      <c r="A249" s="7" t="s">
        <v>1366</v>
      </c>
    </row>
    <row r="250" spans="1:1">
      <c r="A250" s="7">
        <v>706669202</v>
      </c>
    </row>
    <row r="251" spans="1:1">
      <c r="A251" s="7" t="s">
        <v>1367</v>
      </c>
    </row>
    <row r="252" spans="1:1">
      <c r="A252" s="7">
        <v>706669202</v>
      </c>
    </row>
    <row r="253" spans="1:1">
      <c r="A253" s="7" t="s">
        <v>1368</v>
      </c>
    </row>
    <row r="254" spans="1:1">
      <c r="A254" s="7">
        <v>706669202</v>
      </c>
    </row>
    <row r="255" spans="1:1">
      <c r="A255" s="7" t="s">
        <v>1369</v>
      </c>
    </row>
    <row r="256" spans="1:1">
      <c r="A256" s="7">
        <v>706669202</v>
      </c>
    </row>
    <row r="257" spans="1:2">
      <c r="A257" s="7" t="s">
        <v>1370</v>
      </c>
    </row>
    <row r="258" spans="1:2">
      <c r="A258" s="7">
        <v>706669202</v>
      </c>
    </row>
    <row r="259" spans="1:2">
      <c r="A259" s="7" t="s">
        <v>1371</v>
      </c>
    </row>
    <row r="260" spans="1:2">
      <c r="A260" s="7">
        <v>706669202</v>
      </c>
    </row>
    <row r="261" spans="1:2">
      <c r="A261" s="7" t="s">
        <v>1372</v>
      </c>
    </row>
    <row r="262" spans="1:2">
      <c r="A262" s="7">
        <v>706669202</v>
      </c>
    </row>
    <row r="263" spans="1:2">
      <c r="A263" s="3" t="s">
        <v>1373</v>
      </c>
      <c r="B263">
        <f>262/2</f>
        <v>131</v>
      </c>
    </row>
    <row r="264" spans="1:2">
      <c r="A264" s="7">
        <v>706669202</v>
      </c>
    </row>
    <row r="265" spans="1:2">
      <c r="A265" s="7" t="s">
        <v>1374</v>
      </c>
    </row>
    <row r="266" spans="1:2">
      <c r="A266" s="7">
        <v>706669202</v>
      </c>
    </row>
    <row r="267" spans="1:2">
      <c r="A267" s="7" t="s">
        <v>1375</v>
      </c>
    </row>
    <row r="268" spans="1:2">
      <c r="A268" s="7">
        <v>706669202</v>
      </c>
    </row>
    <row r="269" spans="1:2">
      <c r="A269" s="7" t="s">
        <v>1376</v>
      </c>
    </row>
    <row r="270" spans="1:2">
      <c r="A270" s="7">
        <v>706669202</v>
      </c>
    </row>
    <row r="271" spans="1:2">
      <c r="A271" s="7" t="s">
        <v>1377</v>
      </c>
    </row>
    <row r="272" spans="1:2">
      <c r="A272" s="7">
        <v>706669202</v>
      </c>
    </row>
    <row r="273" spans="1:1">
      <c r="A273" s="7" t="s">
        <v>1378</v>
      </c>
    </row>
    <row r="274" spans="1:1">
      <c r="A274" s="7">
        <v>706669202</v>
      </c>
    </row>
    <row r="275" spans="1:1">
      <c r="A275" s="7" t="s">
        <v>1379</v>
      </c>
    </row>
    <row r="276" spans="1:1">
      <c r="A276" s="7">
        <v>706669202</v>
      </c>
    </row>
    <row r="277" spans="1:1">
      <c r="A277" s="7" t="s">
        <v>1380</v>
      </c>
    </row>
    <row r="278" spans="1:1">
      <c r="A278" s="7">
        <v>706669202</v>
      </c>
    </row>
    <row r="279" spans="1:1">
      <c r="A279" s="7" t="s">
        <v>1381</v>
      </c>
    </row>
    <row r="280" spans="1:1">
      <c r="A280" s="7">
        <v>706669202</v>
      </c>
    </row>
    <row r="281" spans="1:1">
      <c r="A281" s="7" t="s">
        <v>1382</v>
      </c>
    </row>
    <row r="282" spans="1:1">
      <c r="A282" s="7">
        <v>706669202</v>
      </c>
    </row>
    <row r="283" spans="1:1">
      <c r="A283" s="7" t="s">
        <v>1383</v>
      </c>
    </row>
    <row r="284" spans="1:1">
      <c r="A284" s="7">
        <v>706669202</v>
      </c>
    </row>
    <row r="285" spans="1:1">
      <c r="A285" s="7" t="s">
        <v>1384</v>
      </c>
    </row>
    <row r="286" spans="1:1">
      <c r="A286" s="7">
        <v>706669202</v>
      </c>
    </row>
    <row r="287" spans="1:1">
      <c r="A287" s="7" t="s">
        <v>1385</v>
      </c>
    </row>
    <row r="288" spans="1:1">
      <c r="A288" s="7">
        <v>706669202</v>
      </c>
    </row>
    <row r="289" spans="1:1">
      <c r="A289" s="7" t="s">
        <v>1386</v>
      </c>
    </row>
    <row r="290" spans="1:1">
      <c r="A290" s="7">
        <v>706669202</v>
      </c>
    </row>
    <row r="291" spans="1:1">
      <c r="A291" s="7" t="s">
        <v>1387</v>
      </c>
    </row>
    <row r="292" spans="1:1">
      <c r="A292" s="7">
        <v>706669202</v>
      </c>
    </row>
    <row r="293" spans="1:1">
      <c r="A293" s="7" t="s">
        <v>1388</v>
      </c>
    </row>
    <row r="294" spans="1:1">
      <c r="A294" s="7">
        <v>706669202</v>
      </c>
    </row>
    <row r="295" spans="1:1">
      <c r="A295" s="7" t="s">
        <v>1389</v>
      </c>
    </row>
    <row r="296" spans="1:1">
      <c r="A296" s="7">
        <v>706669202</v>
      </c>
    </row>
    <row r="297" spans="1:1">
      <c r="A297" s="7" t="s">
        <v>1390</v>
      </c>
    </row>
    <row r="298" spans="1:1">
      <c r="A298" s="7">
        <v>706669202</v>
      </c>
    </row>
    <row r="299" spans="1:1">
      <c r="A299" s="7" t="s">
        <v>1391</v>
      </c>
    </row>
    <row r="300" spans="1:1">
      <c r="A300" s="7">
        <v>706669202</v>
      </c>
    </row>
    <row r="301" spans="1:1">
      <c r="A301" s="7" t="s">
        <v>1392</v>
      </c>
    </row>
    <row r="302" spans="1:1">
      <c r="A302" s="7">
        <v>706669202</v>
      </c>
    </row>
    <row r="303" spans="1:1">
      <c r="A303" s="7" t="s">
        <v>1393</v>
      </c>
    </row>
    <row r="304" spans="1:1">
      <c r="A304" s="7">
        <v>706669202</v>
      </c>
    </row>
    <row r="305" spans="1:2">
      <c r="A305" s="7" t="s">
        <v>1394</v>
      </c>
    </row>
    <row r="306" spans="1:2">
      <c r="A306" s="7">
        <v>706669202</v>
      </c>
    </row>
    <row r="307" spans="1:2">
      <c r="A307" s="7" t="s">
        <v>1395</v>
      </c>
    </row>
    <row r="308" spans="1:2">
      <c r="A308" s="7">
        <v>706669202</v>
      </c>
    </row>
    <row r="309" spans="1:2">
      <c r="A309" s="7" t="s">
        <v>1396</v>
      </c>
    </row>
    <row r="310" spans="1:2">
      <c r="A310" s="7">
        <v>706669202</v>
      </c>
    </row>
    <row r="311" spans="1:2">
      <c r="A311" s="3" t="s">
        <v>1397</v>
      </c>
      <c r="B311">
        <f>310/2</f>
        <v>155</v>
      </c>
    </row>
    <row r="312" spans="1:2">
      <c r="A312" s="7">
        <v>707519406</v>
      </c>
    </row>
    <row r="313" spans="1:2">
      <c r="A313" s="7" t="s">
        <v>1398</v>
      </c>
    </row>
    <row r="314" spans="1:2">
      <c r="A314" s="7">
        <v>707519406</v>
      </c>
    </row>
    <row r="315" spans="1:2">
      <c r="A315" s="7" t="s">
        <v>1399</v>
      </c>
    </row>
    <row r="316" spans="1:2">
      <c r="A316" s="7">
        <v>707519406</v>
      </c>
    </row>
    <row r="317" spans="1:2">
      <c r="A317" s="7" t="s">
        <v>1400</v>
      </c>
    </row>
    <row r="318" spans="1:2">
      <c r="A318" s="7">
        <v>707519406</v>
      </c>
    </row>
    <row r="319" spans="1:2">
      <c r="A319" s="7" t="s">
        <v>1401</v>
      </c>
    </row>
    <row r="320" spans="1:2">
      <c r="A320" s="7">
        <v>707519406</v>
      </c>
    </row>
    <row r="321" spans="1:1">
      <c r="A321" s="7" t="s">
        <v>1402</v>
      </c>
    </row>
    <row r="322" spans="1:1">
      <c r="A322" s="7">
        <v>707519406</v>
      </c>
    </row>
    <row r="323" spans="1:1">
      <c r="A323" s="7" t="s">
        <v>1403</v>
      </c>
    </row>
    <row r="324" spans="1:1">
      <c r="A324" s="7">
        <v>707519406</v>
      </c>
    </row>
    <row r="325" spans="1:1">
      <c r="A325" s="7" t="s">
        <v>1404</v>
      </c>
    </row>
    <row r="326" spans="1:1">
      <c r="A326" s="7">
        <v>707519406</v>
      </c>
    </row>
    <row r="327" spans="1:1">
      <c r="A327" s="7" t="s">
        <v>1405</v>
      </c>
    </row>
    <row r="328" spans="1:1">
      <c r="A328" s="7">
        <v>707519406</v>
      </c>
    </row>
    <row r="329" spans="1:1">
      <c r="A329" s="7" t="s">
        <v>1406</v>
      </c>
    </row>
    <row r="330" spans="1:1">
      <c r="A330" s="7">
        <v>707519406</v>
      </c>
    </row>
    <row r="331" spans="1:1">
      <c r="A331" s="7" t="s">
        <v>1407</v>
      </c>
    </row>
    <row r="332" spans="1:1">
      <c r="A332" s="7">
        <v>707519406</v>
      </c>
    </row>
    <row r="333" spans="1:1">
      <c r="A333" s="7" t="s">
        <v>1408</v>
      </c>
    </row>
    <row r="334" spans="1:1">
      <c r="A334" s="7">
        <v>707519406</v>
      </c>
    </row>
    <row r="335" spans="1:1">
      <c r="A335" s="7" t="s">
        <v>1409</v>
      </c>
    </row>
    <row r="336" spans="1:1">
      <c r="A336" s="7">
        <v>707519406</v>
      </c>
    </row>
    <row r="337" spans="1:2">
      <c r="A337" s="7" t="s">
        <v>1410</v>
      </c>
    </row>
    <row r="338" spans="1:2">
      <c r="A338" s="7">
        <v>707519406</v>
      </c>
    </row>
    <row r="339" spans="1:2">
      <c r="A339" s="3" t="s">
        <v>1411</v>
      </c>
      <c r="B339">
        <f>338/2</f>
        <v>169</v>
      </c>
    </row>
    <row r="340" spans="1:2">
      <c r="A340" s="7">
        <v>707569815</v>
      </c>
    </row>
    <row r="341" spans="1:2">
      <c r="A341" s="7" t="s">
        <v>1420</v>
      </c>
    </row>
    <row r="342" spans="1:2">
      <c r="A342" s="7">
        <v>707569815</v>
      </c>
    </row>
    <row r="343" spans="1:2">
      <c r="A343" s="7" t="s">
        <v>1421</v>
      </c>
    </row>
    <row r="344" spans="1:2">
      <c r="A344" s="7">
        <v>707569815</v>
      </c>
    </row>
    <row r="345" spans="1:2">
      <c r="A345" s="7" t="s">
        <v>1436</v>
      </c>
    </row>
    <row r="346" spans="1:2">
      <c r="A346" s="7">
        <v>707569815</v>
      </c>
    </row>
    <row r="347" spans="1:2">
      <c r="A347" s="7" t="s">
        <v>1422</v>
      </c>
    </row>
    <row r="348" spans="1:2">
      <c r="A348" s="7">
        <v>707569815</v>
      </c>
    </row>
    <row r="349" spans="1:2">
      <c r="A349" s="7" t="s">
        <v>1423</v>
      </c>
    </row>
    <row r="350" spans="1:2">
      <c r="A350" s="7">
        <v>707569815</v>
      </c>
    </row>
    <row r="351" spans="1:2">
      <c r="A351" s="7" t="s">
        <v>1424</v>
      </c>
    </row>
    <row r="352" spans="1:2">
      <c r="A352" s="7">
        <v>707569815</v>
      </c>
    </row>
    <row r="353" spans="1:1">
      <c r="A353" s="7" t="s">
        <v>1425</v>
      </c>
    </row>
    <row r="354" spans="1:1">
      <c r="A354" s="7">
        <v>707569815</v>
      </c>
    </row>
    <row r="355" spans="1:1">
      <c r="A355" s="7" t="s">
        <v>1426</v>
      </c>
    </row>
    <row r="356" spans="1:1">
      <c r="A356" s="7">
        <v>707569815</v>
      </c>
    </row>
    <row r="357" spans="1:1">
      <c r="A357" s="7" t="s">
        <v>1416</v>
      </c>
    </row>
    <row r="358" spans="1:1">
      <c r="A358" s="7">
        <v>707569815</v>
      </c>
    </row>
    <row r="359" spans="1:1">
      <c r="A359" s="7" t="s">
        <v>1417</v>
      </c>
    </row>
    <row r="360" spans="1:1">
      <c r="A360" s="7">
        <v>707569815</v>
      </c>
    </row>
    <row r="361" spans="1:1">
      <c r="A361" s="7" t="s">
        <v>1418</v>
      </c>
    </row>
    <row r="362" spans="1:1">
      <c r="A362" s="7">
        <v>707569815</v>
      </c>
    </row>
    <row r="363" spans="1:1">
      <c r="A363" s="7" t="s">
        <v>1419</v>
      </c>
    </row>
    <row r="364" spans="1:1">
      <c r="A364" s="7">
        <v>707569815</v>
      </c>
    </row>
    <row r="365" spans="1:1">
      <c r="A365" s="7" t="s">
        <v>1415</v>
      </c>
    </row>
    <row r="366" spans="1:1">
      <c r="A366" s="7">
        <v>707569815</v>
      </c>
    </row>
    <row r="367" spans="1:1">
      <c r="A367" s="7" t="s">
        <v>1414</v>
      </c>
    </row>
    <row r="368" spans="1:1">
      <c r="A368" s="7">
        <v>707569815</v>
      </c>
    </row>
    <row r="369" spans="1:1">
      <c r="A369" s="7" t="s">
        <v>1413</v>
      </c>
    </row>
    <row r="370" spans="1:1">
      <c r="A370" s="7">
        <v>707569815</v>
      </c>
    </row>
    <row r="371" spans="1:1">
      <c r="A371" s="7" t="s">
        <v>1412</v>
      </c>
    </row>
    <row r="372" spans="1:1">
      <c r="A372" s="7">
        <v>707569815</v>
      </c>
    </row>
    <row r="373" spans="1:1">
      <c r="A373" s="7" t="s">
        <v>1427</v>
      </c>
    </row>
    <row r="374" spans="1:1">
      <c r="A374" s="7">
        <v>707569815</v>
      </c>
    </row>
    <row r="375" spans="1:1">
      <c r="A375" s="7" t="s">
        <v>1428</v>
      </c>
    </row>
    <row r="376" spans="1:1">
      <c r="A376" s="7">
        <v>707569815</v>
      </c>
    </row>
    <row r="377" spans="1:1">
      <c r="A377" s="7" t="s">
        <v>1429</v>
      </c>
    </row>
    <row r="378" spans="1:1">
      <c r="A378" s="7">
        <v>707569815</v>
      </c>
    </row>
    <row r="379" spans="1:1">
      <c r="A379" s="7" t="s">
        <v>1430</v>
      </c>
    </row>
    <row r="380" spans="1:1">
      <c r="A380" s="7">
        <v>707569815</v>
      </c>
    </row>
    <row r="381" spans="1:1">
      <c r="A381" s="7" t="s">
        <v>1431</v>
      </c>
    </row>
    <row r="382" spans="1:1">
      <c r="A382" s="7">
        <v>707569815</v>
      </c>
    </row>
    <row r="383" spans="1:1">
      <c r="A383" s="7" t="s">
        <v>1432</v>
      </c>
    </row>
    <row r="384" spans="1:1">
      <c r="A384" s="7">
        <v>707569815</v>
      </c>
    </row>
    <row r="385" spans="1:2">
      <c r="A385" s="7" t="s">
        <v>1433</v>
      </c>
    </row>
    <row r="386" spans="1:2">
      <c r="A386" s="7">
        <v>707569815</v>
      </c>
    </row>
    <row r="387" spans="1:2">
      <c r="A387" s="7" t="s">
        <v>1434</v>
      </c>
    </row>
    <row r="388" spans="1:2">
      <c r="A388" s="7">
        <v>707569815</v>
      </c>
    </row>
    <row r="389" spans="1:2">
      <c r="A389" s="3" t="s">
        <v>1435</v>
      </c>
      <c r="B389">
        <f>388/2</f>
        <v>194</v>
      </c>
    </row>
    <row r="390" spans="1:2">
      <c r="A390" s="7">
        <v>707569815</v>
      </c>
    </row>
    <row r="391" spans="1:2">
      <c r="A391" s="7" t="s">
        <v>1437</v>
      </c>
    </row>
    <row r="392" spans="1:2">
      <c r="A392" s="7">
        <v>707569815</v>
      </c>
    </row>
    <row r="393" spans="1:2">
      <c r="A393" s="7" t="s">
        <v>1438</v>
      </c>
    </row>
    <row r="394" spans="1:2">
      <c r="A394" s="7">
        <v>707569815</v>
      </c>
    </row>
    <row r="395" spans="1:2">
      <c r="A395" s="7" t="s">
        <v>1439</v>
      </c>
    </row>
    <row r="396" spans="1:2">
      <c r="A396" s="7">
        <v>707569815</v>
      </c>
    </row>
    <row r="397" spans="1:2">
      <c r="A397" s="7" t="s">
        <v>1440</v>
      </c>
    </row>
    <row r="398" spans="1:2">
      <c r="A398" s="7">
        <v>707569815</v>
      </c>
    </row>
    <row r="399" spans="1:2">
      <c r="A399" s="7" t="s">
        <v>1441</v>
      </c>
    </row>
    <row r="400" spans="1:2">
      <c r="A400" s="7">
        <v>707569815</v>
      </c>
    </row>
    <row r="401" spans="1:1">
      <c r="A401" s="7" t="s">
        <v>1442</v>
      </c>
    </row>
    <row r="402" spans="1:1">
      <c r="A402" s="7">
        <v>707569815</v>
      </c>
    </row>
    <row r="403" spans="1:1">
      <c r="A403" s="7" t="s">
        <v>1443</v>
      </c>
    </row>
    <row r="404" spans="1:1">
      <c r="A404" s="7">
        <v>707569815</v>
      </c>
    </row>
    <row r="405" spans="1:1">
      <c r="A405" s="7" t="s">
        <v>1444</v>
      </c>
    </row>
    <row r="406" spans="1:1">
      <c r="A406" s="7">
        <v>707569815</v>
      </c>
    </row>
    <row r="407" spans="1:1">
      <c r="A407" s="7" t="s">
        <v>1445</v>
      </c>
    </row>
    <row r="408" spans="1:1">
      <c r="A408" s="7">
        <v>707569815</v>
      </c>
    </row>
    <row r="409" spans="1:1">
      <c r="A409" s="7" t="s">
        <v>1446</v>
      </c>
    </row>
    <row r="410" spans="1:1">
      <c r="A410" s="7">
        <v>707569815</v>
      </c>
    </row>
    <row r="411" spans="1:1">
      <c r="A411" s="7" t="s">
        <v>1447</v>
      </c>
    </row>
    <row r="412" spans="1:1">
      <c r="A412" s="7">
        <v>707569815</v>
      </c>
    </row>
    <row r="413" spans="1:1">
      <c r="A413" s="7" t="s">
        <v>1448</v>
      </c>
    </row>
    <row r="414" spans="1:1">
      <c r="A414" s="7">
        <v>707569815</v>
      </c>
    </row>
    <row r="415" spans="1:1">
      <c r="A415" s="7" t="s">
        <v>1449</v>
      </c>
    </row>
    <row r="416" spans="1:1">
      <c r="A416" s="7">
        <v>707569815</v>
      </c>
    </row>
    <row r="417" spans="1:1">
      <c r="A417" s="7" t="s">
        <v>1450</v>
      </c>
    </row>
    <row r="418" spans="1:1">
      <c r="A418" s="7">
        <v>707569815</v>
      </c>
    </row>
    <row r="419" spans="1:1">
      <c r="A419" s="7" t="s">
        <v>1451</v>
      </c>
    </row>
    <row r="420" spans="1:1">
      <c r="A420" s="7">
        <v>707569815</v>
      </c>
    </row>
    <row r="421" spans="1:1">
      <c r="A421" s="7" t="s">
        <v>1452</v>
      </c>
    </row>
    <row r="422" spans="1:1">
      <c r="A422" s="7">
        <v>707569815</v>
      </c>
    </row>
    <row r="423" spans="1:1">
      <c r="A423" s="7" t="s">
        <v>1453</v>
      </c>
    </row>
    <row r="424" spans="1:1">
      <c r="A424" s="7">
        <v>707569815</v>
      </c>
    </row>
    <row r="425" spans="1:1">
      <c r="A425" s="7" t="s">
        <v>1454</v>
      </c>
    </row>
    <row r="426" spans="1:1">
      <c r="A426" s="7">
        <v>707569815</v>
      </c>
    </row>
    <row r="427" spans="1:1">
      <c r="A427" s="7" t="s">
        <v>1455</v>
      </c>
    </row>
    <row r="428" spans="1:1">
      <c r="A428" s="7">
        <v>707569815</v>
      </c>
    </row>
    <row r="429" spans="1:1">
      <c r="A429" s="7" t="s">
        <v>1456</v>
      </c>
    </row>
    <row r="430" spans="1:1">
      <c r="A430" s="7">
        <v>707569815</v>
      </c>
    </row>
    <row r="431" spans="1:1">
      <c r="A431" s="7" t="s">
        <v>1457</v>
      </c>
    </row>
    <row r="432" spans="1:1">
      <c r="A432" s="7">
        <v>707569815</v>
      </c>
    </row>
    <row r="433" spans="1:2">
      <c r="A433" s="7" t="s">
        <v>1458</v>
      </c>
    </row>
    <row r="434" spans="1:2">
      <c r="A434" s="7">
        <v>707569815</v>
      </c>
    </row>
    <row r="435" spans="1:2">
      <c r="A435" s="7" t="s">
        <v>1459</v>
      </c>
    </row>
    <row r="436" spans="1:2">
      <c r="A436" s="7">
        <v>707569815</v>
      </c>
    </row>
    <row r="437" spans="1:2">
      <c r="A437" s="7" t="s">
        <v>1460</v>
      </c>
    </row>
    <row r="438" spans="1:2">
      <c r="A438" s="7">
        <v>707569815</v>
      </c>
    </row>
    <row r="439" spans="1:2">
      <c r="A439" s="3" t="s">
        <v>1461</v>
      </c>
      <c r="B439">
        <f>438/2</f>
        <v>219</v>
      </c>
    </row>
    <row r="440" spans="1:2">
      <c r="A440" s="7">
        <v>707570730</v>
      </c>
    </row>
    <row r="441" spans="1:2">
      <c r="A441" s="7" t="s">
        <v>1462</v>
      </c>
    </row>
    <row r="442" spans="1:2">
      <c r="A442" s="7">
        <v>707570730</v>
      </c>
    </row>
    <row r="443" spans="1:2">
      <c r="A443" s="7" t="s">
        <v>1463</v>
      </c>
    </row>
    <row r="444" spans="1:2">
      <c r="A444" s="7">
        <v>707570730</v>
      </c>
    </row>
    <row r="445" spans="1:2">
      <c r="A445" s="7" t="s">
        <v>1464</v>
      </c>
    </row>
    <row r="446" spans="1:2">
      <c r="A446" s="7">
        <v>707570730</v>
      </c>
    </row>
    <row r="447" spans="1:2">
      <c r="A447" s="7" t="s">
        <v>1465</v>
      </c>
    </row>
    <row r="448" spans="1:2">
      <c r="A448" s="7">
        <v>707570730</v>
      </c>
    </row>
    <row r="449" spans="1:1">
      <c r="A449" s="7" t="s">
        <v>1466</v>
      </c>
    </row>
    <row r="450" spans="1:1">
      <c r="A450" s="7">
        <v>707570730</v>
      </c>
    </row>
    <row r="451" spans="1:1">
      <c r="A451" s="7" t="s">
        <v>1467</v>
      </c>
    </row>
    <row r="452" spans="1:1">
      <c r="A452" s="7">
        <v>707570730</v>
      </c>
    </row>
    <row r="453" spans="1:1">
      <c r="A453" s="7" t="s">
        <v>1468</v>
      </c>
    </row>
    <row r="454" spans="1:1">
      <c r="A454" s="7">
        <v>707570730</v>
      </c>
    </row>
    <row r="455" spans="1:1">
      <c r="A455" s="7" t="s">
        <v>1469</v>
      </c>
    </row>
    <row r="456" spans="1:1">
      <c r="A456" s="7">
        <v>707570730</v>
      </c>
    </row>
    <row r="457" spans="1:1">
      <c r="A457" s="7" t="s">
        <v>1470</v>
      </c>
    </row>
    <row r="458" spans="1:1">
      <c r="A458" s="7">
        <v>707570730</v>
      </c>
    </row>
    <row r="459" spans="1:1">
      <c r="A459" s="7" t="s">
        <v>1471</v>
      </c>
    </row>
    <row r="460" spans="1:1">
      <c r="A460" s="7">
        <v>707574187</v>
      </c>
    </row>
    <row r="461" spans="1:1">
      <c r="A461" s="7" t="s">
        <v>1472</v>
      </c>
    </row>
    <row r="462" spans="1:1">
      <c r="A462" s="7">
        <v>707574187</v>
      </c>
    </row>
    <row r="463" spans="1:1">
      <c r="A463" s="7" t="s">
        <v>1473</v>
      </c>
    </row>
    <row r="464" spans="1:1">
      <c r="A464" s="7">
        <v>707574187</v>
      </c>
    </row>
    <row r="465" spans="1:1">
      <c r="A465" s="7" t="s">
        <v>1474</v>
      </c>
    </row>
    <row r="466" spans="1:1">
      <c r="A466" s="7">
        <v>707574187</v>
      </c>
    </row>
    <row r="467" spans="1:1">
      <c r="A467" s="7" t="s">
        <v>1475</v>
      </c>
    </row>
    <row r="468" spans="1:1">
      <c r="A468" s="7">
        <v>707574187</v>
      </c>
    </row>
    <row r="469" spans="1:1">
      <c r="A469" s="7" t="s">
        <v>1476</v>
      </c>
    </row>
    <row r="470" spans="1:1">
      <c r="A470" s="7">
        <v>707574187</v>
      </c>
    </row>
    <row r="471" spans="1:1">
      <c r="A471" s="7" t="s">
        <v>1477</v>
      </c>
    </row>
    <row r="472" spans="1:1">
      <c r="A472" s="7">
        <v>707574187</v>
      </c>
    </row>
    <row r="473" spans="1:1">
      <c r="A473" s="7" t="s">
        <v>1478</v>
      </c>
    </row>
    <row r="474" spans="1:1">
      <c r="A474" s="7">
        <v>707574187</v>
      </c>
    </row>
    <row r="475" spans="1:1">
      <c r="A475" s="7" t="s">
        <v>1479</v>
      </c>
    </row>
    <row r="476" spans="1:1">
      <c r="A476" s="7">
        <v>707574187</v>
      </c>
    </row>
    <row r="477" spans="1:1">
      <c r="A477" s="7" t="s">
        <v>1480</v>
      </c>
    </row>
    <row r="478" spans="1:1">
      <c r="A478" s="7">
        <v>707574187</v>
      </c>
    </row>
    <row r="479" spans="1:1">
      <c r="A479" s="7" t="s">
        <v>1481</v>
      </c>
    </row>
    <row r="480" spans="1:1">
      <c r="A480" s="7">
        <v>707574187</v>
      </c>
    </row>
    <row r="481" spans="1:2">
      <c r="A481" s="7" t="s">
        <v>1482</v>
      </c>
    </row>
    <row r="482" spans="1:2">
      <c r="A482" s="7">
        <v>707574187</v>
      </c>
    </row>
    <row r="483" spans="1:2">
      <c r="A483" s="3" t="s">
        <v>1483</v>
      </c>
      <c r="B483">
        <f>482/2</f>
        <v>241</v>
      </c>
    </row>
    <row r="484" spans="1:2">
      <c r="A484" s="7">
        <v>708035899</v>
      </c>
    </row>
    <row r="485" spans="1:2">
      <c r="A485" s="7" t="s">
        <v>1484</v>
      </c>
    </row>
    <row r="486" spans="1:2">
      <c r="A486" s="7">
        <v>708035899</v>
      </c>
    </row>
    <row r="487" spans="1:2">
      <c r="A487" s="7" t="s">
        <v>1485</v>
      </c>
    </row>
    <row r="488" spans="1:2">
      <c r="A488" s="7">
        <v>708035899</v>
      </c>
    </row>
    <row r="489" spans="1:2">
      <c r="A489" s="7" t="s">
        <v>1486</v>
      </c>
    </row>
    <row r="490" spans="1:2">
      <c r="A490" s="7">
        <v>708035899</v>
      </c>
    </row>
    <row r="491" spans="1:2">
      <c r="A491" s="7" t="s">
        <v>1487</v>
      </c>
    </row>
    <row r="492" spans="1:2">
      <c r="A492" s="7">
        <v>708036343</v>
      </c>
    </row>
    <row r="493" spans="1:2">
      <c r="A493" s="7" t="s">
        <v>1488</v>
      </c>
    </row>
    <row r="494" spans="1:2">
      <c r="A494" s="7">
        <v>708036343</v>
      </c>
    </row>
    <row r="495" spans="1:2">
      <c r="A495" s="7" t="s">
        <v>1489</v>
      </c>
    </row>
    <row r="496" spans="1:2">
      <c r="A496" s="7">
        <v>708036343</v>
      </c>
    </row>
    <row r="497" spans="1:1">
      <c r="A497" s="7" t="s">
        <v>1490</v>
      </c>
    </row>
    <row r="498" spans="1:1">
      <c r="A498" s="7">
        <v>708036343</v>
      </c>
    </row>
    <row r="499" spans="1:1">
      <c r="A499" s="7" t="s">
        <v>1491</v>
      </c>
    </row>
    <row r="500" spans="1:1">
      <c r="A500" s="7">
        <v>708179960</v>
      </c>
    </row>
    <row r="501" spans="1:1">
      <c r="A501" s="7" t="s">
        <v>1492</v>
      </c>
    </row>
    <row r="502" spans="1:1">
      <c r="A502" s="7">
        <v>708179945</v>
      </c>
    </row>
    <row r="503" spans="1:1">
      <c r="A503" s="7" t="s">
        <v>1493</v>
      </c>
    </row>
    <row r="504" spans="1:1">
      <c r="A504" s="7">
        <v>708179937</v>
      </c>
    </row>
    <row r="505" spans="1:1">
      <c r="A505" s="7" t="s">
        <v>1494</v>
      </c>
    </row>
    <row r="506" spans="1:1">
      <c r="A506" s="7">
        <v>705086366</v>
      </c>
    </row>
    <row r="507" spans="1:1">
      <c r="A507" s="7" t="s">
        <v>1495</v>
      </c>
    </row>
    <row r="508" spans="1:1">
      <c r="A508" s="7">
        <v>704265532</v>
      </c>
    </row>
    <row r="509" spans="1:1">
      <c r="A509" s="7" t="s">
        <v>1496</v>
      </c>
    </row>
    <row r="510" spans="1:1">
      <c r="A510" s="7">
        <v>707519257</v>
      </c>
    </row>
    <row r="511" spans="1:1">
      <c r="A511" s="7" t="s">
        <v>1497</v>
      </c>
    </row>
    <row r="512" spans="1:1">
      <c r="A512" s="7">
        <v>707367004</v>
      </c>
    </row>
    <row r="513" spans="1:2">
      <c r="A513" s="7" t="s">
        <v>1498</v>
      </c>
    </row>
    <row r="514" spans="1:2">
      <c r="A514" s="7">
        <v>707638834</v>
      </c>
    </row>
    <row r="515" spans="1:2">
      <c r="A515" s="3" t="s">
        <v>1499</v>
      </c>
      <c r="B515">
        <f>514/2</f>
        <v>257</v>
      </c>
    </row>
    <row r="516" spans="1:2">
      <c r="A516" s="7">
        <v>707433814</v>
      </c>
    </row>
    <row r="517" spans="1:2">
      <c r="A517" s="7" t="s">
        <v>1500</v>
      </c>
    </row>
    <row r="518" spans="1:2">
      <c r="A518" s="7">
        <v>705086382</v>
      </c>
    </row>
    <row r="519" spans="1:2">
      <c r="A519" s="7" t="s">
        <v>1501</v>
      </c>
    </row>
    <row r="520" spans="1:2">
      <c r="A520" s="7">
        <v>707433814</v>
      </c>
    </row>
    <row r="521" spans="1:2">
      <c r="A521" s="7" t="s">
        <v>1502</v>
      </c>
    </row>
    <row r="522" spans="1:2">
      <c r="A522" s="7">
        <v>707433814</v>
      </c>
    </row>
    <row r="523" spans="1:2">
      <c r="A523" s="7" t="s">
        <v>1503</v>
      </c>
    </row>
    <row r="524" spans="1:2">
      <c r="A524" s="7">
        <v>705086382</v>
      </c>
    </row>
    <row r="525" spans="1:2">
      <c r="A525" s="7" t="s">
        <v>1504</v>
      </c>
    </row>
    <row r="526" spans="1:2">
      <c r="A526" s="7">
        <v>707574435</v>
      </c>
    </row>
    <row r="527" spans="1:2">
      <c r="A527" s="7" t="s">
        <v>1505</v>
      </c>
    </row>
    <row r="528" spans="1:2">
      <c r="A528" s="7">
        <v>706255721</v>
      </c>
    </row>
    <row r="529" spans="1:1">
      <c r="A529" s="7" t="s">
        <v>1506</v>
      </c>
    </row>
    <row r="530" spans="1:1">
      <c r="A530" s="7">
        <v>706255721</v>
      </c>
    </row>
    <row r="531" spans="1:1">
      <c r="A531" s="7" t="s">
        <v>1507</v>
      </c>
    </row>
    <row r="532" spans="1:1">
      <c r="A532" s="7">
        <v>706255721</v>
      </c>
    </row>
    <row r="533" spans="1:1">
      <c r="A533" s="7" t="s">
        <v>1508</v>
      </c>
    </row>
    <row r="534" spans="1:1">
      <c r="A534" s="7">
        <v>706255721</v>
      </c>
    </row>
    <row r="535" spans="1:1">
      <c r="A535" s="7" t="s">
        <v>1509</v>
      </c>
    </row>
    <row r="536" spans="1:1">
      <c r="A536" s="7">
        <v>707574435</v>
      </c>
    </row>
    <row r="537" spans="1:1">
      <c r="A537" s="7" t="s">
        <v>1510</v>
      </c>
    </row>
    <row r="538" spans="1:1">
      <c r="A538" s="7">
        <v>707574435</v>
      </c>
    </row>
    <row r="539" spans="1:1">
      <c r="A539" s="7" t="s">
        <v>1511</v>
      </c>
    </row>
    <row r="540" spans="1:1">
      <c r="A540" s="7">
        <v>707574435</v>
      </c>
    </row>
    <row r="541" spans="1:1">
      <c r="A541" s="7" t="s">
        <v>1512</v>
      </c>
    </row>
    <row r="542" spans="1:1">
      <c r="A542" s="7">
        <v>706255721</v>
      </c>
    </row>
    <row r="543" spans="1:1">
      <c r="A543" s="7" t="s">
        <v>1513</v>
      </c>
    </row>
    <row r="544" spans="1:1">
      <c r="A544" s="7">
        <v>706255721</v>
      </c>
    </row>
    <row r="545" spans="1:3">
      <c r="A545" s="7" t="s">
        <v>1514</v>
      </c>
    </row>
    <row r="546" spans="1:3">
      <c r="A546" s="7">
        <v>707517574</v>
      </c>
    </row>
    <row r="547" spans="1:3">
      <c r="A547" s="7" t="s">
        <v>1515</v>
      </c>
    </row>
    <row r="548" spans="1:3">
      <c r="A548" s="7">
        <v>707517574</v>
      </c>
    </row>
    <row r="549" spans="1:3">
      <c r="A549" s="3" t="s">
        <v>1516</v>
      </c>
      <c r="B549">
        <f>548/2</f>
        <v>274</v>
      </c>
      <c r="C549" s="8">
        <v>0.95138888888888884</v>
      </c>
    </row>
    <row r="550" spans="1:3">
      <c r="A550" s="7">
        <v>706413130</v>
      </c>
    </row>
    <row r="551" spans="1:3">
      <c r="A551" s="7" t="s">
        <v>1517</v>
      </c>
    </row>
    <row r="552" spans="1:3">
      <c r="A552" s="7">
        <v>706413130</v>
      </c>
    </row>
    <row r="553" spans="1:3">
      <c r="A553" s="7" t="s">
        <v>1518</v>
      </c>
    </row>
    <row r="554" spans="1:3">
      <c r="A554" s="7">
        <v>702459723</v>
      </c>
    </row>
    <row r="555" spans="1:3">
      <c r="A555" s="7" t="s">
        <v>1519</v>
      </c>
    </row>
    <row r="556" spans="1:3">
      <c r="A556" s="7">
        <v>702459723</v>
      </c>
    </row>
    <row r="557" spans="1:3">
      <c r="A557" s="7" t="s">
        <v>1520</v>
      </c>
    </row>
    <row r="558" spans="1:3">
      <c r="A558" s="7">
        <v>700711331</v>
      </c>
    </row>
    <row r="559" spans="1:3">
      <c r="A559" s="7" t="s">
        <v>1521</v>
      </c>
    </row>
    <row r="560" spans="1:3">
      <c r="A560" s="7">
        <v>700711331</v>
      </c>
    </row>
    <row r="561" spans="1:1">
      <c r="A561" s="7" t="s">
        <v>1522</v>
      </c>
    </row>
    <row r="562" spans="1:1">
      <c r="A562" s="7">
        <v>700711331</v>
      </c>
    </row>
    <row r="563" spans="1:1">
      <c r="A563" s="7" t="s">
        <v>1523</v>
      </c>
    </row>
    <row r="564" spans="1:1">
      <c r="A564" s="7">
        <v>700711331</v>
      </c>
    </row>
    <row r="565" spans="1:1">
      <c r="A565" s="7" t="s">
        <v>1524</v>
      </c>
    </row>
    <row r="566" spans="1:1">
      <c r="A566" s="7">
        <v>706413130</v>
      </c>
    </row>
    <row r="567" spans="1:1">
      <c r="A567" s="7" t="s">
        <v>1525</v>
      </c>
    </row>
    <row r="568" spans="1:1">
      <c r="A568" s="7">
        <v>706413130</v>
      </c>
    </row>
    <row r="569" spans="1:1">
      <c r="A569" s="7" t="s">
        <v>1526</v>
      </c>
    </row>
    <row r="570" spans="1:1">
      <c r="A570" s="7">
        <v>707518424</v>
      </c>
    </row>
    <row r="571" spans="1:1">
      <c r="A571" s="7" t="s">
        <v>1527</v>
      </c>
    </row>
    <row r="572" spans="1:1">
      <c r="A572" s="7">
        <v>707518424</v>
      </c>
    </row>
    <row r="573" spans="1:1">
      <c r="A573" s="7" t="s">
        <v>1528</v>
      </c>
    </row>
    <row r="574" spans="1:1">
      <c r="A574" s="7">
        <v>707531096</v>
      </c>
    </row>
    <row r="575" spans="1:1">
      <c r="A575" s="7" t="s">
        <v>1529</v>
      </c>
    </row>
    <row r="576" spans="1:1">
      <c r="A576" s="7">
        <v>707531096</v>
      </c>
    </row>
    <row r="577" spans="1:2">
      <c r="A577" s="7" t="s">
        <v>1530</v>
      </c>
    </row>
    <row r="578" spans="1:2">
      <c r="A578" s="7">
        <v>707531096</v>
      </c>
    </row>
    <row r="579" spans="1:2">
      <c r="A579" s="7" t="s">
        <v>1531</v>
      </c>
    </row>
    <row r="580" spans="1:2">
      <c r="A580" s="7">
        <v>707531096</v>
      </c>
    </row>
    <row r="581" spans="1:2">
      <c r="A581" s="7" t="s">
        <v>1532</v>
      </c>
    </row>
    <row r="582" spans="1:2">
      <c r="A582" s="7">
        <v>707531096</v>
      </c>
    </row>
    <row r="583" spans="1:2">
      <c r="A583" s="7" t="s">
        <v>1533</v>
      </c>
    </row>
    <row r="584" spans="1:2">
      <c r="A584" s="7">
        <v>707531096</v>
      </c>
    </row>
    <row r="585" spans="1:2">
      <c r="A585" s="3" t="s">
        <v>1534</v>
      </c>
      <c r="B585">
        <f>584/2</f>
        <v>292</v>
      </c>
    </row>
    <row r="586" spans="1:2">
      <c r="A586" s="7">
        <v>705260110</v>
      </c>
    </row>
    <row r="587" spans="1:2">
      <c r="A587" s="7" t="s">
        <v>1535</v>
      </c>
    </row>
    <row r="588" spans="1:2">
      <c r="A588" s="7">
        <v>705260110</v>
      </c>
    </row>
    <row r="589" spans="1:2">
      <c r="A589" s="7" t="s">
        <v>1536</v>
      </c>
    </row>
    <row r="590" spans="1:2">
      <c r="A590" s="7">
        <v>705260110</v>
      </c>
    </row>
    <row r="591" spans="1:2">
      <c r="A591" s="7" t="s">
        <v>1537</v>
      </c>
    </row>
    <row r="592" spans="1:2">
      <c r="A592" s="7">
        <v>705260110</v>
      </c>
    </row>
    <row r="593" spans="1:1">
      <c r="A593" s="7" t="s">
        <v>1538</v>
      </c>
    </row>
    <row r="594" spans="1:1">
      <c r="A594" s="7">
        <v>705260110</v>
      </c>
    </row>
    <row r="595" spans="1:1">
      <c r="A595" s="7" t="s">
        <v>1539</v>
      </c>
    </row>
    <row r="596" spans="1:1">
      <c r="A596" s="7">
        <v>705260110</v>
      </c>
    </row>
    <row r="597" spans="1:1">
      <c r="A597" s="7" t="s">
        <v>1540</v>
      </c>
    </row>
    <row r="598" spans="1:1">
      <c r="A598" s="7">
        <v>705260110</v>
      </c>
    </row>
    <row r="599" spans="1:1">
      <c r="A599" s="7" t="s">
        <v>1541</v>
      </c>
    </row>
    <row r="600" spans="1:1">
      <c r="A600" s="7">
        <v>705260110</v>
      </c>
    </row>
    <row r="601" spans="1:1">
      <c r="A601" s="7" t="s">
        <v>1542</v>
      </c>
    </row>
    <row r="602" spans="1:1">
      <c r="A602" s="7">
        <v>705260110</v>
      </c>
    </row>
    <row r="603" spans="1:1">
      <c r="A603" s="7" t="s">
        <v>1543</v>
      </c>
    </row>
    <row r="604" spans="1:1">
      <c r="A604" s="7">
        <v>705260110</v>
      </c>
    </row>
    <row r="605" spans="1:1">
      <c r="A605" s="7" t="s">
        <v>1544</v>
      </c>
    </row>
    <row r="606" spans="1:1">
      <c r="A606" s="7">
        <v>705260110</v>
      </c>
    </row>
    <row r="607" spans="1:1">
      <c r="A607" s="7" t="s">
        <v>1545</v>
      </c>
    </row>
    <row r="608" spans="1:1">
      <c r="A608" s="7">
        <v>705260110</v>
      </c>
    </row>
    <row r="609" spans="1:2">
      <c r="A609" s="3" t="s">
        <v>1546</v>
      </c>
      <c r="B609">
        <f>608/2</f>
        <v>304</v>
      </c>
    </row>
    <row r="610" spans="1:2">
      <c r="A610" s="7">
        <v>705260110</v>
      </c>
    </row>
    <row r="611" spans="1:2">
      <c r="A611" s="7" t="s">
        <v>1547</v>
      </c>
    </row>
    <row r="612" spans="1:2">
      <c r="A612" s="7">
        <v>705260110</v>
      </c>
    </row>
    <row r="613" spans="1:2">
      <c r="A613" s="7" t="s">
        <v>1548</v>
      </c>
    </row>
    <row r="614" spans="1:2">
      <c r="A614" s="7">
        <v>705260110</v>
      </c>
    </row>
    <row r="615" spans="1:2">
      <c r="A615" s="7" t="s">
        <v>1549</v>
      </c>
    </row>
    <row r="616" spans="1:2">
      <c r="A616" s="7">
        <v>705260110</v>
      </c>
    </row>
    <row r="617" spans="1:2">
      <c r="A617" s="7" t="s">
        <v>1550</v>
      </c>
    </row>
    <row r="618" spans="1:2">
      <c r="A618" s="7">
        <v>705260110</v>
      </c>
    </row>
    <row r="619" spans="1:2">
      <c r="A619" s="7" t="s">
        <v>1551</v>
      </c>
    </row>
    <row r="620" spans="1:2">
      <c r="A620" s="7">
        <v>705260110</v>
      </c>
    </row>
    <row r="621" spans="1:2">
      <c r="A621" s="7" t="s">
        <v>1552</v>
      </c>
    </row>
    <row r="622" spans="1:2">
      <c r="A622" s="7">
        <v>705260110</v>
      </c>
    </row>
    <row r="623" spans="1:2">
      <c r="A623" s="7" t="s">
        <v>1553</v>
      </c>
    </row>
    <row r="624" spans="1:2">
      <c r="A624" s="7">
        <v>705260110</v>
      </c>
    </row>
    <row r="625" spans="1:3">
      <c r="A625" s="7" t="s">
        <v>1554</v>
      </c>
    </row>
    <row r="626" spans="1:3">
      <c r="A626" s="7">
        <v>705260110</v>
      </c>
    </row>
    <row r="627" spans="1:3">
      <c r="A627" s="7" t="s">
        <v>1555</v>
      </c>
    </row>
    <row r="628" spans="1:3">
      <c r="A628" s="7">
        <v>705260110</v>
      </c>
    </row>
    <row r="629" spans="1:3">
      <c r="A629" s="7" t="s">
        <v>1556</v>
      </c>
    </row>
    <row r="630" spans="1:3">
      <c r="A630" s="7">
        <v>705260110</v>
      </c>
    </row>
    <row r="631" spans="1:3">
      <c r="A631" s="7" t="s">
        <v>1557</v>
      </c>
    </row>
    <row r="632" spans="1:3">
      <c r="A632" s="7">
        <v>705260110</v>
      </c>
    </row>
    <row r="633" spans="1:3">
      <c r="A633" s="3" t="s">
        <v>1558</v>
      </c>
      <c r="B633">
        <f>632/2</f>
        <v>316</v>
      </c>
      <c r="C633" s="8">
        <v>4.027777777777778E-2</v>
      </c>
    </row>
    <row r="634" spans="1:3">
      <c r="A634" s="7">
        <v>708179184</v>
      </c>
    </row>
    <row r="635" spans="1:3">
      <c r="A635" s="7" t="s">
        <v>1559</v>
      </c>
    </row>
    <row r="636" spans="1:3">
      <c r="A636" s="7">
        <v>708179184</v>
      </c>
    </row>
    <row r="637" spans="1:3">
      <c r="A637" s="7" t="s">
        <v>1560</v>
      </c>
    </row>
    <row r="638" spans="1:3">
      <c r="A638" s="7">
        <v>708179184</v>
      </c>
    </row>
    <row r="639" spans="1:3">
      <c r="A639" s="7" t="s">
        <v>1561</v>
      </c>
    </row>
    <row r="640" spans="1:3">
      <c r="A640" s="7">
        <v>708179184</v>
      </c>
    </row>
    <row r="641" spans="1:1">
      <c r="A641" s="7" t="s">
        <v>1562</v>
      </c>
    </row>
    <row r="642" spans="1:1">
      <c r="A642" s="7">
        <v>708179184</v>
      </c>
    </row>
    <row r="643" spans="1:1">
      <c r="A643" s="7" t="s">
        <v>1563</v>
      </c>
    </row>
    <row r="644" spans="1:1">
      <c r="A644" s="7">
        <v>708179184</v>
      </c>
    </row>
    <row r="645" spans="1:1">
      <c r="A645" s="7" t="s">
        <v>1564</v>
      </c>
    </row>
    <row r="646" spans="1:1">
      <c r="A646" s="7">
        <v>708179184</v>
      </c>
    </row>
    <row r="647" spans="1:1">
      <c r="A647" s="7" t="s">
        <v>1565</v>
      </c>
    </row>
    <row r="648" spans="1:1">
      <c r="A648" s="7">
        <v>708179184</v>
      </c>
    </row>
    <row r="649" spans="1:1">
      <c r="A649" s="7" t="s">
        <v>1566</v>
      </c>
    </row>
    <row r="650" spans="1:1">
      <c r="A650" s="7">
        <v>708179184</v>
      </c>
    </row>
    <row r="651" spans="1:1">
      <c r="A651" s="7" t="s">
        <v>1567</v>
      </c>
    </row>
    <row r="652" spans="1:1">
      <c r="A652" s="7">
        <v>708179184</v>
      </c>
    </row>
    <row r="653" spans="1:1">
      <c r="A653" s="7" t="s">
        <v>1568</v>
      </c>
    </row>
    <row r="654" spans="1:1">
      <c r="A654" s="7">
        <v>708179184</v>
      </c>
    </row>
    <row r="655" spans="1:1">
      <c r="A655" s="7" t="s">
        <v>1569</v>
      </c>
    </row>
    <row r="656" spans="1:1">
      <c r="A656" s="7">
        <v>708179184</v>
      </c>
    </row>
    <row r="657" spans="1:1">
      <c r="A657" s="7" t="s">
        <v>1570</v>
      </c>
    </row>
    <row r="658" spans="1:1">
      <c r="A658" s="7">
        <v>708179184</v>
      </c>
    </row>
    <row r="659" spans="1:1">
      <c r="A659" s="7" t="s">
        <v>1571</v>
      </c>
    </row>
    <row r="660" spans="1:1">
      <c r="A660" s="7">
        <v>708179184</v>
      </c>
    </row>
    <row r="661" spans="1:1">
      <c r="A661" s="7" t="s">
        <v>1572</v>
      </c>
    </row>
    <row r="662" spans="1:1">
      <c r="A662" s="7">
        <v>708179184</v>
      </c>
    </row>
    <row r="663" spans="1:1">
      <c r="A663" s="7" t="s">
        <v>1573</v>
      </c>
    </row>
    <row r="664" spans="1:1">
      <c r="A664" s="7">
        <v>708179184</v>
      </c>
    </row>
    <row r="665" spans="1:1">
      <c r="A665" s="7" t="s">
        <v>1574</v>
      </c>
    </row>
    <row r="666" spans="1:1">
      <c r="A666" s="7">
        <v>708179184</v>
      </c>
    </row>
    <row r="667" spans="1:1">
      <c r="A667" s="7" t="s">
        <v>1575</v>
      </c>
    </row>
    <row r="668" spans="1:1">
      <c r="A668" s="7">
        <v>708179184</v>
      </c>
    </row>
    <row r="669" spans="1:1">
      <c r="A669" s="7" t="s">
        <v>1576</v>
      </c>
    </row>
    <row r="670" spans="1:1">
      <c r="A670" s="7">
        <v>708179184</v>
      </c>
    </row>
    <row r="671" spans="1:1">
      <c r="A671" s="7" t="s">
        <v>1577</v>
      </c>
    </row>
    <row r="672" spans="1:1">
      <c r="A672" s="7">
        <v>708179184</v>
      </c>
    </row>
    <row r="673" spans="1:1">
      <c r="A673" s="7" t="s">
        <v>1578</v>
      </c>
    </row>
    <row r="674" spans="1:1">
      <c r="A674" s="7">
        <v>708179184</v>
      </c>
    </row>
    <row r="675" spans="1:1">
      <c r="A675" s="7" t="s">
        <v>1579</v>
      </c>
    </row>
    <row r="676" spans="1:1">
      <c r="A676" s="7">
        <v>708179184</v>
      </c>
    </row>
    <row r="677" spans="1:1">
      <c r="A677" s="7" t="s">
        <v>1580</v>
      </c>
    </row>
    <row r="678" spans="1:1">
      <c r="A678" s="7">
        <v>708179184</v>
      </c>
    </row>
    <row r="679" spans="1:1">
      <c r="A679" s="7" t="s">
        <v>1581</v>
      </c>
    </row>
    <row r="680" spans="1:1">
      <c r="A680" s="7">
        <v>708179184</v>
      </c>
    </row>
    <row r="681" spans="1:1">
      <c r="A681" s="7" t="s">
        <v>1582</v>
      </c>
    </row>
    <row r="682" spans="1:1">
      <c r="A682" s="7">
        <v>708179184</v>
      </c>
    </row>
    <row r="683" spans="1:1">
      <c r="A683" s="7" t="s">
        <v>1583</v>
      </c>
    </row>
    <row r="684" spans="1:1">
      <c r="A684" s="7">
        <v>708179184</v>
      </c>
    </row>
    <row r="685" spans="1:1">
      <c r="A685" s="7" t="s">
        <v>1584</v>
      </c>
    </row>
    <row r="686" spans="1:1">
      <c r="A686" s="7">
        <v>708179184</v>
      </c>
    </row>
    <row r="687" spans="1:1">
      <c r="A687" s="7" t="s">
        <v>1585</v>
      </c>
    </row>
    <row r="688" spans="1:1">
      <c r="A688" s="7">
        <v>708179184</v>
      </c>
    </row>
    <row r="689" spans="1:1">
      <c r="A689" s="7" t="s">
        <v>1586</v>
      </c>
    </row>
    <row r="690" spans="1:1">
      <c r="A690" s="7">
        <v>708179184</v>
      </c>
    </row>
    <row r="691" spans="1:1">
      <c r="A691" s="7" t="s">
        <v>1587</v>
      </c>
    </row>
    <row r="692" spans="1:1">
      <c r="A692" s="7">
        <v>708179184</v>
      </c>
    </row>
    <row r="693" spans="1:1">
      <c r="A693" s="7" t="s">
        <v>1588</v>
      </c>
    </row>
    <row r="694" spans="1:1">
      <c r="A694" s="7">
        <v>708179184</v>
      </c>
    </row>
    <row r="695" spans="1:1">
      <c r="A695" s="7" t="s">
        <v>1589</v>
      </c>
    </row>
    <row r="696" spans="1:1">
      <c r="A696" s="7">
        <v>708179184</v>
      </c>
    </row>
    <row r="697" spans="1:1">
      <c r="A697" s="7" t="s">
        <v>1590</v>
      </c>
    </row>
    <row r="698" spans="1:1">
      <c r="A698" s="7">
        <v>708179184</v>
      </c>
    </row>
    <row r="699" spans="1:1">
      <c r="A699" s="7" t="s">
        <v>1591</v>
      </c>
    </row>
    <row r="700" spans="1:1">
      <c r="A700" s="7">
        <v>708179184</v>
      </c>
    </row>
    <row r="701" spans="1:1">
      <c r="A701" s="7" t="s">
        <v>1592</v>
      </c>
    </row>
    <row r="702" spans="1:1">
      <c r="A702" s="7">
        <v>708179184</v>
      </c>
    </row>
    <row r="703" spans="1:1">
      <c r="A703" s="7" t="s">
        <v>1593</v>
      </c>
    </row>
    <row r="704" spans="1:1">
      <c r="A704" s="7">
        <v>708179184</v>
      </c>
    </row>
    <row r="705" spans="1:2">
      <c r="A705" s="7" t="s">
        <v>1594</v>
      </c>
    </row>
    <row r="706" spans="1:2">
      <c r="A706" s="7">
        <v>708179184</v>
      </c>
    </row>
    <row r="707" spans="1:2">
      <c r="A707" s="7" t="s">
        <v>1595</v>
      </c>
    </row>
    <row r="708" spans="1:2">
      <c r="A708" s="7">
        <v>708179184</v>
      </c>
    </row>
    <row r="709" spans="1:2">
      <c r="A709" s="7" t="s">
        <v>1596</v>
      </c>
    </row>
    <row r="710" spans="1:2">
      <c r="A710" s="7">
        <v>708179184</v>
      </c>
    </row>
    <row r="711" spans="1:2">
      <c r="A711" s="7" t="s">
        <v>1597</v>
      </c>
    </row>
    <row r="712" spans="1:2">
      <c r="A712" s="7">
        <v>708179184</v>
      </c>
    </row>
    <row r="713" spans="1:2">
      <c r="A713" s="3" t="s">
        <v>1598</v>
      </c>
      <c r="B713">
        <f>712/2</f>
        <v>356</v>
      </c>
    </row>
    <row r="714" spans="1:2">
      <c r="A714" s="7">
        <v>708179184</v>
      </c>
    </row>
    <row r="715" spans="1:2">
      <c r="A715" s="7" t="s">
        <v>1599</v>
      </c>
    </row>
    <row r="716" spans="1:2">
      <c r="A716" s="7">
        <v>708179184</v>
      </c>
    </row>
    <row r="717" spans="1:2">
      <c r="A717" s="7" t="s">
        <v>1600</v>
      </c>
    </row>
    <row r="718" spans="1:2">
      <c r="A718" s="7">
        <v>708179184</v>
      </c>
    </row>
    <row r="719" spans="1:2">
      <c r="A719" s="7" t="s">
        <v>1601</v>
      </c>
    </row>
    <row r="720" spans="1:2">
      <c r="A720" s="7">
        <v>708179184</v>
      </c>
    </row>
    <row r="721" spans="1:1">
      <c r="A721" s="7" t="s">
        <v>1602</v>
      </c>
    </row>
    <row r="722" spans="1:1">
      <c r="A722" s="7">
        <v>708179184</v>
      </c>
    </row>
    <row r="723" spans="1:1">
      <c r="A723" s="7" t="s">
        <v>1603</v>
      </c>
    </row>
    <row r="724" spans="1:1">
      <c r="A724" s="7">
        <v>708179184</v>
      </c>
    </row>
    <row r="725" spans="1:1">
      <c r="A725" s="7" t="s">
        <v>1604</v>
      </c>
    </row>
    <row r="726" spans="1:1">
      <c r="A726" s="7">
        <v>708179184</v>
      </c>
    </row>
    <row r="727" spans="1:1">
      <c r="A727" s="7" t="s">
        <v>1605</v>
      </c>
    </row>
    <row r="728" spans="1:1">
      <c r="A728" s="7">
        <v>708179184</v>
      </c>
    </row>
    <row r="729" spans="1:1">
      <c r="A729" s="7" t="s">
        <v>1606</v>
      </c>
    </row>
    <row r="730" spans="1:1">
      <c r="A730" s="7">
        <v>708179184</v>
      </c>
    </row>
    <row r="731" spans="1:1">
      <c r="A731" s="7" t="s">
        <v>1607</v>
      </c>
    </row>
    <row r="732" spans="1:1">
      <c r="A732" s="7">
        <v>708179184</v>
      </c>
    </row>
    <row r="733" spans="1:1">
      <c r="A733" s="7" t="s">
        <v>1608</v>
      </c>
    </row>
    <row r="734" spans="1:1">
      <c r="A734" s="7">
        <v>708179184</v>
      </c>
    </row>
    <row r="735" spans="1:1">
      <c r="A735" s="7" t="s">
        <v>1609</v>
      </c>
    </row>
    <row r="736" spans="1:1">
      <c r="A736" s="7">
        <v>708179184</v>
      </c>
    </row>
    <row r="737" spans="1:1">
      <c r="A737" s="7" t="s">
        <v>1610</v>
      </c>
    </row>
    <row r="738" spans="1:1">
      <c r="A738" s="7">
        <v>708179184</v>
      </c>
    </row>
    <row r="739" spans="1:1">
      <c r="A739" s="7" t="s">
        <v>1611</v>
      </c>
    </row>
    <row r="740" spans="1:1">
      <c r="A740" s="7">
        <v>708179184</v>
      </c>
    </row>
    <row r="741" spans="1:1">
      <c r="A741" s="7" t="s">
        <v>1612</v>
      </c>
    </row>
    <row r="742" spans="1:1">
      <c r="A742" s="7">
        <v>708179184</v>
      </c>
    </row>
    <row r="743" spans="1:1">
      <c r="A743" s="7" t="s">
        <v>1613</v>
      </c>
    </row>
    <row r="744" spans="1:1">
      <c r="A744" s="7">
        <v>708179184</v>
      </c>
    </row>
    <row r="745" spans="1:1">
      <c r="A745" s="7" t="s">
        <v>1614</v>
      </c>
    </row>
    <row r="746" spans="1:1">
      <c r="A746" s="7">
        <v>708179184</v>
      </c>
    </row>
    <row r="747" spans="1:1">
      <c r="A747" s="7" t="s">
        <v>1615</v>
      </c>
    </row>
    <row r="748" spans="1:1">
      <c r="A748" s="7">
        <v>708179184</v>
      </c>
    </row>
    <row r="749" spans="1:1">
      <c r="A749" s="7" t="s">
        <v>1616</v>
      </c>
    </row>
    <row r="750" spans="1:1">
      <c r="A750" s="7">
        <v>708179184</v>
      </c>
    </row>
    <row r="751" spans="1:1">
      <c r="A751" s="7" t="s">
        <v>1617</v>
      </c>
    </row>
    <row r="752" spans="1:1">
      <c r="A752" s="7">
        <v>708179184</v>
      </c>
    </row>
    <row r="753" spans="1:1">
      <c r="A753" s="7" t="s">
        <v>1618</v>
      </c>
    </row>
    <row r="754" spans="1:1">
      <c r="A754" s="7">
        <v>708179184</v>
      </c>
    </row>
    <row r="755" spans="1:1">
      <c r="A755" s="7" t="s">
        <v>1619</v>
      </c>
    </row>
    <row r="756" spans="1:1">
      <c r="A756" s="7">
        <v>708179184</v>
      </c>
    </row>
    <row r="757" spans="1:1">
      <c r="A757" s="7" t="s">
        <v>1620</v>
      </c>
    </row>
    <row r="758" spans="1:1">
      <c r="A758" s="7">
        <v>708179184</v>
      </c>
    </row>
    <row r="759" spans="1:1">
      <c r="A759" s="7" t="s">
        <v>1621</v>
      </c>
    </row>
    <row r="760" spans="1:1">
      <c r="A760" s="7">
        <v>708179184</v>
      </c>
    </row>
    <row r="761" spans="1:1">
      <c r="A761" s="7" t="s">
        <v>1622</v>
      </c>
    </row>
    <row r="762" spans="1:1">
      <c r="A762" s="7">
        <v>708179184</v>
      </c>
    </row>
    <row r="763" spans="1:1">
      <c r="A763" s="7" t="s">
        <v>1623</v>
      </c>
    </row>
    <row r="764" spans="1:1">
      <c r="A764" s="7">
        <v>708179184</v>
      </c>
    </row>
    <row r="765" spans="1:1">
      <c r="A765" s="7" t="s">
        <v>1624</v>
      </c>
    </row>
    <row r="766" spans="1:1">
      <c r="A766" s="7">
        <v>708179184</v>
      </c>
    </row>
    <row r="767" spans="1:1">
      <c r="A767" s="7" t="s">
        <v>1625</v>
      </c>
    </row>
    <row r="768" spans="1:1">
      <c r="A768" s="7">
        <v>708179184</v>
      </c>
    </row>
    <row r="769" spans="1:1">
      <c r="A769" s="7" t="s">
        <v>1626</v>
      </c>
    </row>
    <row r="770" spans="1:1">
      <c r="A770" s="7">
        <v>708179184</v>
      </c>
    </row>
    <row r="771" spans="1:1">
      <c r="A771" s="7" t="s">
        <v>1627</v>
      </c>
    </row>
    <row r="772" spans="1:1">
      <c r="A772" s="7">
        <v>708179184</v>
      </c>
    </row>
    <row r="773" spans="1:1">
      <c r="A773" s="7" t="s">
        <v>1628</v>
      </c>
    </row>
    <row r="774" spans="1:1">
      <c r="A774" s="7">
        <v>708179184</v>
      </c>
    </row>
    <row r="775" spans="1:1">
      <c r="A775" s="7" t="s">
        <v>1629</v>
      </c>
    </row>
    <row r="776" spans="1:1">
      <c r="A776" s="7">
        <v>708179184</v>
      </c>
    </row>
    <row r="777" spans="1:1">
      <c r="A777" s="7" t="s">
        <v>1630</v>
      </c>
    </row>
    <row r="778" spans="1:1">
      <c r="A778" s="7">
        <v>708179184</v>
      </c>
    </row>
    <row r="779" spans="1:1">
      <c r="A779" s="7" t="s">
        <v>1631</v>
      </c>
    </row>
    <row r="780" spans="1:1">
      <c r="A780" s="7">
        <v>708179184</v>
      </c>
    </row>
    <row r="781" spans="1:1">
      <c r="A781" s="7" t="s">
        <v>1632</v>
      </c>
    </row>
    <row r="782" spans="1:1">
      <c r="A782" s="7">
        <v>708179184</v>
      </c>
    </row>
    <row r="783" spans="1:1">
      <c r="A783" s="7" t="s">
        <v>1633</v>
      </c>
    </row>
    <row r="784" spans="1:1">
      <c r="A784" s="7">
        <v>708179184</v>
      </c>
    </row>
    <row r="785" spans="1:2">
      <c r="A785" s="7" t="s">
        <v>1634</v>
      </c>
    </row>
    <row r="786" spans="1:2">
      <c r="A786" s="7">
        <v>708179184</v>
      </c>
    </row>
    <row r="787" spans="1:2">
      <c r="A787" s="7" t="s">
        <v>1635</v>
      </c>
    </row>
    <row r="788" spans="1:2">
      <c r="A788" s="7">
        <v>708179184</v>
      </c>
    </row>
    <row r="789" spans="1:2">
      <c r="A789" s="7" t="s">
        <v>1636</v>
      </c>
    </row>
    <row r="790" spans="1:2">
      <c r="A790" s="7">
        <v>708179184</v>
      </c>
    </row>
    <row r="791" spans="1:2">
      <c r="A791" s="7" t="s">
        <v>1637</v>
      </c>
    </row>
    <row r="792" spans="1:2">
      <c r="A792" s="7">
        <v>708179184</v>
      </c>
    </row>
    <row r="793" spans="1:2">
      <c r="A793" s="3" t="s">
        <v>1638</v>
      </c>
      <c r="B793">
        <f>792/2</f>
        <v>396</v>
      </c>
    </row>
    <row r="794" spans="1:2">
      <c r="A794" s="7">
        <v>707087503</v>
      </c>
    </row>
    <row r="795" spans="1:2">
      <c r="A795" s="7" t="s">
        <v>1639</v>
      </c>
    </row>
    <row r="796" spans="1:2">
      <c r="A796" s="7">
        <v>707087503</v>
      </c>
    </row>
    <row r="797" spans="1:2">
      <c r="A797" s="7" t="s">
        <v>1640</v>
      </c>
    </row>
    <row r="798" spans="1:2">
      <c r="A798" s="7">
        <v>707087503</v>
      </c>
    </row>
    <row r="799" spans="1:2">
      <c r="A799" s="7" t="s">
        <v>1641</v>
      </c>
    </row>
    <row r="800" spans="1:2">
      <c r="A800" s="7">
        <v>707087503</v>
      </c>
    </row>
    <row r="801" spans="1:1">
      <c r="A801" s="7" t="s">
        <v>1642</v>
      </c>
    </row>
    <row r="802" spans="1:1">
      <c r="A802" s="7">
        <v>707087503</v>
      </c>
    </row>
    <row r="803" spans="1:1">
      <c r="A803" s="7" t="s">
        <v>1643</v>
      </c>
    </row>
    <row r="804" spans="1:1">
      <c r="A804" s="7">
        <v>707087503</v>
      </c>
    </row>
    <row r="805" spans="1:1">
      <c r="A805" s="7" t="s">
        <v>1644</v>
      </c>
    </row>
    <row r="806" spans="1:1">
      <c r="A806" s="7">
        <v>707087503</v>
      </c>
    </row>
    <row r="807" spans="1:1">
      <c r="A807" s="7" t="s">
        <v>1645</v>
      </c>
    </row>
    <row r="808" spans="1:1">
      <c r="A808" s="7">
        <v>707087503</v>
      </c>
    </row>
    <row r="809" spans="1:1">
      <c r="A809" s="7" t="s">
        <v>1646</v>
      </c>
    </row>
    <row r="810" spans="1:1">
      <c r="A810" s="7">
        <v>707087503</v>
      </c>
    </row>
    <row r="811" spans="1:1">
      <c r="A811" s="7" t="s">
        <v>1647</v>
      </c>
    </row>
    <row r="812" spans="1:1">
      <c r="A812" s="7">
        <v>707087503</v>
      </c>
    </row>
    <row r="813" spans="1:1">
      <c r="A813" s="7" t="s">
        <v>1648</v>
      </c>
    </row>
    <row r="814" spans="1:1">
      <c r="A814" s="7">
        <v>707087503</v>
      </c>
    </row>
    <row r="815" spans="1:1">
      <c r="A815" s="7" t="s">
        <v>1649</v>
      </c>
    </row>
    <row r="816" spans="1:1">
      <c r="A816" s="7">
        <v>707087503</v>
      </c>
    </row>
    <row r="817" spans="1:2">
      <c r="A817" s="7" t="s">
        <v>1650</v>
      </c>
    </row>
    <row r="818" spans="1:2">
      <c r="A818" s="7">
        <v>707087503</v>
      </c>
    </row>
    <row r="819" spans="1:2">
      <c r="A819" s="7" t="s">
        <v>1651</v>
      </c>
    </row>
    <row r="820" spans="1:2">
      <c r="A820" s="7">
        <v>707087503</v>
      </c>
    </row>
    <row r="821" spans="1:2">
      <c r="A821" s="7" t="s">
        <v>1652</v>
      </c>
    </row>
    <row r="822" spans="1:2">
      <c r="A822" s="7">
        <v>707087503</v>
      </c>
    </row>
    <row r="823" spans="1:2">
      <c r="A823" s="7" t="s">
        <v>1653</v>
      </c>
    </row>
    <row r="824" spans="1:2">
      <c r="A824" s="7">
        <v>707087503</v>
      </c>
    </row>
    <row r="825" spans="1:2">
      <c r="A825" s="7" t="s">
        <v>1654</v>
      </c>
    </row>
    <row r="826" spans="1:2">
      <c r="A826" s="7">
        <v>707087503</v>
      </c>
    </row>
    <row r="827" spans="1:2">
      <c r="A827" s="7" t="s">
        <v>1655</v>
      </c>
    </row>
    <row r="828" spans="1:2">
      <c r="A828" s="7">
        <v>707087503</v>
      </c>
    </row>
    <row r="829" spans="1:2">
      <c r="A829" s="3" t="s">
        <v>1656</v>
      </c>
      <c r="B829">
        <f>828/2</f>
        <v>414</v>
      </c>
    </row>
    <row r="830" spans="1:2">
      <c r="A830" s="7">
        <v>707518390</v>
      </c>
    </row>
    <row r="831" spans="1:2">
      <c r="A831" s="7" t="s">
        <v>1657</v>
      </c>
    </row>
    <row r="832" spans="1:2">
      <c r="A832" s="7">
        <v>707518390</v>
      </c>
    </row>
    <row r="833" spans="1:1">
      <c r="A833" s="7" t="s">
        <v>1658</v>
      </c>
    </row>
    <row r="834" spans="1:1">
      <c r="A834" s="7">
        <v>707518390</v>
      </c>
    </row>
    <row r="835" spans="1:1">
      <c r="A835" s="7" t="s">
        <v>1659</v>
      </c>
    </row>
    <row r="836" spans="1:1">
      <c r="A836" s="7">
        <v>707518390</v>
      </c>
    </row>
    <row r="837" spans="1:1">
      <c r="A837" s="7" t="s">
        <v>1660</v>
      </c>
    </row>
    <row r="838" spans="1:1">
      <c r="A838" s="7">
        <v>707518390</v>
      </c>
    </row>
    <row r="839" spans="1:1">
      <c r="A839" s="7" t="s">
        <v>1661</v>
      </c>
    </row>
    <row r="840" spans="1:1">
      <c r="A840" s="7">
        <v>707518390</v>
      </c>
    </row>
    <row r="841" spans="1:1">
      <c r="A841" s="7" t="s">
        <v>1662</v>
      </c>
    </row>
    <row r="842" spans="1:1">
      <c r="A842" s="7">
        <v>707518390</v>
      </c>
    </row>
    <row r="843" spans="1:1">
      <c r="A843" s="7" t="s">
        <v>1663</v>
      </c>
    </row>
    <row r="844" spans="1:1">
      <c r="A844" s="7">
        <v>707518390</v>
      </c>
    </row>
    <row r="845" spans="1:1">
      <c r="A845" s="7" t="s">
        <v>1664</v>
      </c>
    </row>
    <row r="846" spans="1:1">
      <c r="A846" s="7">
        <v>707518390</v>
      </c>
    </row>
    <row r="847" spans="1:1">
      <c r="A847" s="7" t="s">
        <v>1665</v>
      </c>
    </row>
    <row r="848" spans="1:1">
      <c r="A848" s="7">
        <v>707518390</v>
      </c>
    </row>
    <row r="849" spans="1:1">
      <c r="A849" s="7" t="s">
        <v>1666</v>
      </c>
    </row>
    <row r="850" spans="1:1">
      <c r="A850" s="7">
        <v>707518390</v>
      </c>
    </row>
    <row r="851" spans="1:1">
      <c r="A851" s="7" t="s">
        <v>1667</v>
      </c>
    </row>
    <row r="852" spans="1:1">
      <c r="A852" s="7">
        <v>707518390</v>
      </c>
    </row>
    <row r="853" spans="1:1">
      <c r="A853" s="7" t="s">
        <v>1668</v>
      </c>
    </row>
    <row r="854" spans="1:1">
      <c r="A854" s="7">
        <v>707518390</v>
      </c>
    </row>
    <row r="855" spans="1:1">
      <c r="A855" s="7" t="s">
        <v>1669</v>
      </c>
    </row>
    <row r="856" spans="1:1">
      <c r="A856" s="7">
        <v>707518390</v>
      </c>
    </row>
    <row r="857" spans="1:1">
      <c r="A857" s="7" t="s">
        <v>1670</v>
      </c>
    </row>
    <row r="858" spans="1:1">
      <c r="A858" s="7">
        <v>707518390</v>
      </c>
    </row>
    <row r="859" spans="1:1">
      <c r="A859" s="7" t="s">
        <v>1671</v>
      </c>
    </row>
    <row r="860" spans="1:1">
      <c r="A860" s="7">
        <v>707518390</v>
      </c>
    </row>
    <row r="861" spans="1:1">
      <c r="A861" s="7" t="s">
        <v>1672</v>
      </c>
    </row>
    <row r="862" spans="1:1">
      <c r="A862" s="7">
        <v>707518390</v>
      </c>
    </row>
    <row r="863" spans="1:1">
      <c r="A863" s="7" t="s">
        <v>1673</v>
      </c>
    </row>
    <row r="864" spans="1:1">
      <c r="A864" s="7">
        <v>707518390</v>
      </c>
    </row>
    <row r="865" spans="1:2">
      <c r="A865" s="7" t="s">
        <v>1674</v>
      </c>
    </row>
    <row r="866" spans="1:2">
      <c r="A866" s="7">
        <v>707518390</v>
      </c>
    </row>
    <row r="867" spans="1:2">
      <c r="A867" s="7" t="s">
        <v>1675</v>
      </c>
    </row>
    <row r="868" spans="1:2">
      <c r="A868" s="7">
        <v>707518390</v>
      </c>
    </row>
    <row r="869" spans="1:2">
      <c r="A869" s="3" t="s">
        <v>1676</v>
      </c>
      <c r="B869">
        <f>868/2</f>
        <v>434</v>
      </c>
    </row>
    <row r="870" spans="1:2">
      <c r="A870" s="7">
        <v>707596099</v>
      </c>
    </row>
    <row r="871" spans="1:2">
      <c r="A871" s="7" t="s">
        <v>1677</v>
      </c>
    </row>
    <row r="872" spans="1:2">
      <c r="A872" s="7">
        <v>707596099</v>
      </c>
    </row>
    <row r="873" spans="1:2">
      <c r="A873" s="7" t="s">
        <v>1678</v>
      </c>
    </row>
    <row r="874" spans="1:2">
      <c r="A874" s="7">
        <v>707596099</v>
      </c>
    </row>
    <row r="875" spans="1:2">
      <c r="A875" s="7" t="s">
        <v>1679</v>
      </c>
    </row>
    <row r="876" spans="1:2">
      <c r="A876" s="7">
        <v>707596099</v>
      </c>
    </row>
    <row r="877" spans="1:2">
      <c r="A877" s="7" t="s">
        <v>1680</v>
      </c>
    </row>
    <row r="878" spans="1:2">
      <c r="A878" s="7">
        <v>707596099</v>
      </c>
    </row>
    <row r="879" spans="1:2">
      <c r="A879" s="7" t="s">
        <v>1681</v>
      </c>
    </row>
    <row r="880" spans="1:2">
      <c r="A880" s="7">
        <v>707596099</v>
      </c>
    </row>
    <row r="881" spans="1:1">
      <c r="A881" s="7" t="s">
        <v>1682</v>
      </c>
    </row>
    <row r="882" spans="1:1">
      <c r="A882" s="7">
        <v>707596099</v>
      </c>
    </row>
    <row r="883" spans="1:1">
      <c r="A883" s="7" t="s">
        <v>1683</v>
      </c>
    </row>
    <row r="884" spans="1:1">
      <c r="A884" s="7">
        <v>707596099</v>
      </c>
    </row>
    <row r="885" spans="1:1">
      <c r="A885" s="7" t="s">
        <v>1684</v>
      </c>
    </row>
    <row r="886" spans="1:1">
      <c r="A886" s="7">
        <v>707596099</v>
      </c>
    </row>
    <row r="887" spans="1:1">
      <c r="A887" s="7" t="s">
        <v>1685</v>
      </c>
    </row>
    <row r="888" spans="1:1">
      <c r="A888" s="7">
        <v>707596099</v>
      </c>
    </row>
    <row r="889" spans="1:1">
      <c r="A889" s="7" t="s">
        <v>1686</v>
      </c>
    </row>
    <row r="890" spans="1:1">
      <c r="A890" s="7">
        <v>707596099</v>
      </c>
    </row>
    <row r="891" spans="1:1">
      <c r="A891" s="7" t="s">
        <v>1687</v>
      </c>
    </row>
    <row r="892" spans="1:1">
      <c r="A892" s="7">
        <v>707596099</v>
      </c>
    </row>
    <row r="893" spans="1:1">
      <c r="A893" s="7" t="s">
        <v>1688</v>
      </c>
    </row>
    <row r="894" spans="1:1">
      <c r="A894" s="7">
        <v>707596099</v>
      </c>
    </row>
    <row r="895" spans="1:1">
      <c r="A895" s="7" t="s">
        <v>1689</v>
      </c>
    </row>
    <row r="896" spans="1:1">
      <c r="A896" s="7">
        <v>707596099</v>
      </c>
    </row>
    <row r="897" spans="1:1">
      <c r="A897" s="7" t="s">
        <v>1690</v>
      </c>
    </row>
    <row r="898" spans="1:1">
      <c r="A898" s="7">
        <v>707596099</v>
      </c>
    </row>
    <row r="899" spans="1:1">
      <c r="A899" s="7" t="s">
        <v>1691</v>
      </c>
    </row>
    <row r="900" spans="1:1">
      <c r="A900" s="7">
        <v>707596099</v>
      </c>
    </row>
    <row r="901" spans="1:1">
      <c r="A901" s="7" t="s">
        <v>1692</v>
      </c>
    </row>
    <row r="902" spans="1:1">
      <c r="A902" s="7">
        <v>707596099</v>
      </c>
    </row>
    <row r="903" spans="1:1">
      <c r="A903" s="7" t="s">
        <v>1693</v>
      </c>
    </row>
    <row r="904" spans="1:1">
      <c r="A904" s="7">
        <v>707596099</v>
      </c>
    </row>
    <row r="905" spans="1:1">
      <c r="A905" s="7" t="s">
        <v>1694</v>
      </c>
    </row>
    <row r="906" spans="1:1">
      <c r="A906" s="7">
        <v>707596099</v>
      </c>
    </row>
    <row r="907" spans="1:1">
      <c r="A907" s="7" t="s">
        <v>1695</v>
      </c>
    </row>
    <row r="908" spans="1:1">
      <c r="A908" s="7">
        <v>707596099</v>
      </c>
    </row>
    <row r="909" spans="1:1">
      <c r="A909" s="7" t="s">
        <v>1696</v>
      </c>
    </row>
    <row r="910" spans="1:1">
      <c r="A910" s="7">
        <v>707596099</v>
      </c>
    </row>
    <row r="911" spans="1:1">
      <c r="A911" s="7" t="s">
        <v>1697</v>
      </c>
    </row>
    <row r="912" spans="1:1">
      <c r="A912" s="7">
        <v>707596099</v>
      </c>
    </row>
    <row r="913" spans="1:1">
      <c r="A913" s="7" t="s">
        <v>1698</v>
      </c>
    </row>
    <row r="914" spans="1:1">
      <c r="A914" s="7">
        <v>707596099</v>
      </c>
    </row>
    <row r="915" spans="1:1">
      <c r="A915" s="7" t="s">
        <v>1699</v>
      </c>
    </row>
    <row r="916" spans="1:1">
      <c r="A916" s="7">
        <v>707596099</v>
      </c>
    </row>
    <row r="917" spans="1:1">
      <c r="A917" s="7" t="s">
        <v>1700</v>
      </c>
    </row>
    <row r="918" spans="1:1">
      <c r="A918" s="7">
        <v>707596099</v>
      </c>
    </row>
    <row r="919" spans="1:1">
      <c r="A919" s="7" t="s">
        <v>1701</v>
      </c>
    </row>
    <row r="920" spans="1:1">
      <c r="A920" s="7">
        <v>707596099</v>
      </c>
    </row>
    <row r="921" spans="1:1">
      <c r="A921" s="7" t="s">
        <v>1702</v>
      </c>
    </row>
    <row r="922" spans="1:1">
      <c r="A922" s="7">
        <v>707596099</v>
      </c>
    </row>
    <row r="923" spans="1:1">
      <c r="A923" s="7" t="s">
        <v>1703</v>
      </c>
    </row>
    <row r="924" spans="1:1">
      <c r="A924" s="7">
        <v>707596099</v>
      </c>
    </row>
    <row r="925" spans="1:1">
      <c r="A925" s="7" t="s">
        <v>1704</v>
      </c>
    </row>
    <row r="926" spans="1:1">
      <c r="A926" s="7">
        <v>707596099</v>
      </c>
    </row>
    <row r="927" spans="1:1">
      <c r="A927" s="7" t="s">
        <v>1705</v>
      </c>
    </row>
    <row r="928" spans="1:1">
      <c r="A928" s="7">
        <v>707596099</v>
      </c>
    </row>
    <row r="929" spans="1:2">
      <c r="A929" s="3" t="s">
        <v>1706</v>
      </c>
      <c r="B929">
        <f>928/2</f>
        <v>464</v>
      </c>
    </row>
    <row r="930" spans="1:2">
      <c r="A930" s="7">
        <v>707728759</v>
      </c>
    </row>
    <row r="931" spans="1:2">
      <c r="A931" s="7" t="s">
        <v>1707</v>
      </c>
    </row>
    <row r="932" spans="1:2">
      <c r="A932" s="7">
        <v>707728759</v>
      </c>
    </row>
    <row r="933" spans="1:2">
      <c r="A933" s="7" t="s">
        <v>1708</v>
      </c>
    </row>
    <row r="934" spans="1:2">
      <c r="A934" s="7">
        <v>707728759</v>
      </c>
    </row>
    <row r="935" spans="1:2">
      <c r="A935" s="7" t="s">
        <v>1709</v>
      </c>
    </row>
    <row r="936" spans="1:2">
      <c r="A936" s="7">
        <v>707728759</v>
      </c>
    </row>
    <row r="937" spans="1:2">
      <c r="A937" s="7" t="s">
        <v>1710</v>
      </c>
    </row>
    <row r="938" spans="1:2">
      <c r="A938" s="7">
        <v>707728759</v>
      </c>
    </row>
    <row r="939" spans="1:2">
      <c r="A939" s="7" t="s">
        <v>1711</v>
      </c>
    </row>
    <row r="940" spans="1:2">
      <c r="A940" s="7">
        <v>707728759</v>
      </c>
    </row>
    <row r="941" spans="1:2">
      <c r="A941" s="7" t="s">
        <v>1712</v>
      </c>
    </row>
    <row r="942" spans="1:2">
      <c r="A942" s="7">
        <v>707728759</v>
      </c>
    </row>
    <row r="943" spans="1:2">
      <c r="A943" s="7" t="s">
        <v>1713</v>
      </c>
    </row>
    <row r="944" spans="1:2">
      <c r="A944" s="7">
        <v>707728759</v>
      </c>
    </row>
    <row r="945" spans="1:2">
      <c r="A945" s="7" t="s">
        <v>1714</v>
      </c>
    </row>
    <row r="946" spans="1:2">
      <c r="A946" s="7">
        <v>707728759</v>
      </c>
    </row>
    <row r="947" spans="1:2">
      <c r="A947" s="7" t="s">
        <v>1715</v>
      </c>
    </row>
    <row r="948" spans="1:2">
      <c r="A948" s="7">
        <v>707728759</v>
      </c>
    </row>
    <row r="949" spans="1:2">
      <c r="A949" s="7" t="s">
        <v>1716</v>
      </c>
    </row>
    <row r="950" spans="1:2">
      <c r="A950" s="7">
        <v>707728759</v>
      </c>
    </row>
    <row r="951" spans="1:2">
      <c r="A951" s="7" t="s">
        <v>1717</v>
      </c>
    </row>
    <row r="952" spans="1:2">
      <c r="A952" s="7">
        <v>707728759</v>
      </c>
    </row>
    <row r="953" spans="1:2">
      <c r="A953" s="7" t="s">
        <v>1718</v>
      </c>
    </row>
    <row r="954" spans="1:2">
      <c r="A954" s="7">
        <v>707728759</v>
      </c>
    </row>
    <row r="955" spans="1:2">
      <c r="A955" s="7" t="s">
        <v>1719</v>
      </c>
    </row>
    <row r="956" spans="1:2">
      <c r="A956" s="7">
        <v>707728759</v>
      </c>
    </row>
    <row r="957" spans="1:2">
      <c r="A957" s="3" t="s">
        <v>1720</v>
      </c>
      <c r="B957">
        <f>956/2</f>
        <v>478</v>
      </c>
    </row>
    <row r="958" spans="1:2">
      <c r="A958" s="7">
        <v>707921479</v>
      </c>
    </row>
    <row r="959" spans="1:2">
      <c r="A959" s="7" t="s">
        <v>1721</v>
      </c>
    </row>
    <row r="960" spans="1:2">
      <c r="A960" s="7">
        <v>707921479</v>
      </c>
    </row>
    <row r="961" spans="1:2">
      <c r="A961" s="7" t="s">
        <v>1722</v>
      </c>
    </row>
    <row r="962" spans="1:2">
      <c r="A962" s="7">
        <v>707921479</v>
      </c>
    </row>
    <row r="963" spans="1:2">
      <c r="A963" s="7" t="s">
        <v>1723</v>
      </c>
    </row>
    <row r="964" spans="1:2">
      <c r="A964" s="7">
        <v>707921479</v>
      </c>
    </row>
    <row r="965" spans="1:2">
      <c r="A965" s="7" t="s">
        <v>1724</v>
      </c>
    </row>
    <row r="966" spans="1:2">
      <c r="A966" s="7">
        <v>707921479</v>
      </c>
    </row>
    <row r="967" spans="1:2">
      <c r="A967" s="7" t="s">
        <v>1725</v>
      </c>
    </row>
    <row r="968" spans="1:2">
      <c r="A968" s="7">
        <v>707921479</v>
      </c>
    </row>
    <row r="969" spans="1:2">
      <c r="A969" s="7" t="s">
        <v>1726</v>
      </c>
    </row>
    <row r="970" spans="1:2">
      <c r="A970" s="7">
        <v>707921479</v>
      </c>
    </row>
    <row r="971" spans="1:2">
      <c r="A971" s="7" t="s">
        <v>1727</v>
      </c>
    </row>
    <row r="972" spans="1:2">
      <c r="A972" s="7">
        <v>707921479</v>
      </c>
    </row>
    <row r="973" spans="1:2">
      <c r="A973" s="7" t="s">
        <v>1728</v>
      </c>
    </row>
    <row r="974" spans="1:2">
      <c r="A974" s="7">
        <v>707921479</v>
      </c>
    </row>
    <row r="975" spans="1:2">
      <c r="A975" s="3" t="s">
        <v>1729</v>
      </c>
      <c r="B975">
        <f>974/2</f>
        <v>487</v>
      </c>
    </row>
    <row r="976" spans="1:2">
      <c r="A976" s="7">
        <v>707921479</v>
      </c>
    </row>
    <row r="977" spans="1:1">
      <c r="A977" s="7" t="s">
        <v>1730</v>
      </c>
    </row>
    <row r="978" spans="1:1">
      <c r="A978" s="7">
        <v>707921479</v>
      </c>
    </row>
    <row r="979" spans="1:1">
      <c r="A979" s="7" t="s">
        <v>1731</v>
      </c>
    </row>
    <row r="980" spans="1:1">
      <c r="A980" s="7">
        <v>707921479</v>
      </c>
    </row>
    <row r="981" spans="1:1">
      <c r="A981" s="7" t="s">
        <v>1732</v>
      </c>
    </row>
    <row r="982" spans="1:1">
      <c r="A982" s="7">
        <v>707921479</v>
      </c>
    </row>
    <row r="983" spans="1:1">
      <c r="A983" s="7" t="s">
        <v>1733</v>
      </c>
    </row>
    <row r="984" spans="1:1">
      <c r="A984" s="7">
        <v>707921479</v>
      </c>
    </row>
    <row r="985" spans="1:1">
      <c r="A985" s="7" t="s">
        <v>1734</v>
      </c>
    </row>
    <row r="986" spans="1:1">
      <c r="A986" s="7">
        <v>707921479</v>
      </c>
    </row>
    <row r="987" spans="1:1">
      <c r="A987" s="7" t="s">
        <v>1735</v>
      </c>
    </row>
    <row r="988" spans="1:1">
      <c r="A988" s="7">
        <v>707921479</v>
      </c>
    </row>
    <row r="989" spans="1:1">
      <c r="A989" s="7" t="s">
        <v>1736</v>
      </c>
    </row>
    <row r="990" spans="1:1">
      <c r="A990" s="7">
        <v>707921479</v>
      </c>
    </row>
    <row r="991" spans="1:1">
      <c r="A991" s="7" t="s">
        <v>1737</v>
      </c>
    </row>
    <row r="992" spans="1:1">
      <c r="A992" s="7">
        <v>707921479</v>
      </c>
    </row>
    <row r="993" spans="1:1">
      <c r="A993" s="7" t="s">
        <v>1738</v>
      </c>
    </row>
    <row r="994" spans="1:1">
      <c r="A994" s="7">
        <v>707921479</v>
      </c>
    </row>
    <row r="995" spans="1:1">
      <c r="A995" s="7" t="s">
        <v>1739</v>
      </c>
    </row>
    <row r="996" spans="1:1">
      <c r="A996" s="7">
        <v>707921479</v>
      </c>
    </row>
    <row r="997" spans="1:1">
      <c r="A997" s="7" t="s">
        <v>1740</v>
      </c>
    </row>
    <row r="998" spans="1:1">
      <c r="A998" s="7">
        <v>707921479</v>
      </c>
    </row>
    <row r="999" spans="1:1">
      <c r="A999" s="7" t="s">
        <v>1741</v>
      </c>
    </row>
    <row r="1000" spans="1:1">
      <c r="A1000" s="7">
        <v>707921479</v>
      </c>
    </row>
    <row r="1001" spans="1:1">
      <c r="A1001" s="7" t="s">
        <v>1742</v>
      </c>
    </row>
    <row r="1002" spans="1:1">
      <c r="A1002" s="7">
        <v>707921479</v>
      </c>
    </row>
    <row r="1003" spans="1:1">
      <c r="A1003" s="7" t="s">
        <v>1743</v>
      </c>
    </row>
    <row r="1004" spans="1:1">
      <c r="A1004" s="7">
        <v>707921479</v>
      </c>
    </row>
    <row r="1005" spans="1:1">
      <c r="A1005" s="7" t="s">
        <v>1744</v>
      </c>
    </row>
    <row r="1006" spans="1:1">
      <c r="A1006" s="7">
        <v>707921479</v>
      </c>
    </row>
    <row r="1007" spans="1:1">
      <c r="A1007" s="7" t="s">
        <v>1745</v>
      </c>
    </row>
    <row r="1008" spans="1:1">
      <c r="A1008" s="7">
        <v>707921479</v>
      </c>
    </row>
    <row r="1009" spans="1:2">
      <c r="A1009" s="7" t="s">
        <v>1746</v>
      </c>
    </row>
    <row r="1010" spans="1:2">
      <c r="A1010" s="7">
        <v>707921479</v>
      </c>
    </row>
    <row r="1011" spans="1:2">
      <c r="A1011" s="3" t="s">
        <v>1747</v>
      </c>
      <c r="B1011">
        <f>1010/2</f>
        <v>505</v>
      </c>
    </row>
    <row r="1012" spans="1:2">
      <c r="A1012" s="7">
        <v>707728759</v>
      </c>
    </row>
    <row r="1013" spans="1:2">
      <c r="A1013" s="7" t="s">
        <v>1748</v>
      </c>
    </row>
    <row r="1014" spans="1:2">
      <c r="A1014" s="7">
        <v>707728759</v>
      </c>
    </row>
    <row r="1015" spans="1:2">
      <c r="A1015" s="7" t="s">
        <v>1749</v>
      </c>
    </row>
    <row r="1016" spans="1:2">
      <c r="A1016" s="7">
        <v>707728759</v>
      </c>
    </row>
    <row r="1017" spans="1:2">
      <c r="A1017" s="7" t="s">
        <v>1750</v>
      </c>
    </row>
    <row r="1018" spans="1:2">
      <c r="A1018" s="7">
        <v>707728759</v>
      </c>
    </row>
    <row r="1019" spans="1:2">
      <c r="A1019" s="7" t="s">
        <v>1751</v>
      </c>
    </row>
    <row r="1020" spans="1:2">
      <c r="A1020" s="7">
        <v>707728759</v>
      </c>
    </row>
    <row r="1021" spans="1:2">
      <c r="A1021" s="7" t="s">
        <v>1752</v>
      </c>
    </row>
    <row r="1022" spans="1:2">
      <c r="A1022" s="7">
        <v>707728759</v>
      </c>
    </row>
    <row r="1023" spans="1:2">
      <c r="A1023" s="7" t="s">
        <v>1753</v>
      </c>
    </row>
    <row r="1024" spans="1:2">
      <c r="A1024" s="7">
        <v>707728759</v>
      </c>
    </row>
    <row r="1025" spans="1:2">
      <c r="A1025" s="7" t="s">
        <v>1754</v>
      </c>
    </row>
    <row r="1026" spans="1:2">
      <c r="A1026" s="7">
        <v>707728759</v>
      </c>
    </row>
    <row r="1027" spans="1:2">
      <c r="A1027" s="7" t="s">
        <v>1755</v>
      </c>
    </row>
    <row r="1028" spans="1:2">
      <c r="A1028" s="7">
        <v>707728759</v>
      </c>
    </row>
    <row r="1029" spans="1:2">
      <c r="A1029" s="7" t="s">
        <v>1756</v>
      </c>
    </row>
    <row r="1030" spans="1:2">
      <c r="A1030" s="7">
        <v>707728759</v>
      </c>
    </row>
    <row r="1031" spans="1:2">
      <c r="A1031" s="7" t="s">
        <v>1757</v>
      </c>
    </row>
    <row r="1032" spans="1:2">
      <c r="A1032" s="7">
        <v>707728759</v>
      </c>
    </row>
    <row r="1033" spans="1:2">
      <c r="A1033" s="7" t="s">
        <v>1758</v>
      </c>
    </row>
    <row r="1034" spans="1:2">
      <c r="A1034" s="7">
        <v>707728759</v>
      </c>
    </row>
    <row r="1035" spans="1:2">
      <c r="A1035" s="7" t="s">
        <v>1759</v>
      </c>
    </row>
    <row r="1036" spans="1:2">
      <c r="A1036" s="7">
        <v>707728759</v>
      </c>
    </row>
    <row r="1037" spans="1:2">
      <c r="A1037" s="7" t="s">
        <v>1760</v>
      </c>
    </row>
    <row r="1038" spans="1:2">
      <c r="A1038" s="7">
        <v>707728759</v>
      </c>
    </row>
    <row r="1039" spans="1:2">
      <c r="A1039" s="3" t="s">
        <v>1761</v>
      </c>
      <c r="B1039">
        <f>1038/2</f>
        <v>519</v>
      </c>
    </row>
    <row r="1040" spans="1:2">
      <c r="A1040" s="7">
        <v>707728759</v>
      </c>
    </row>
    <row r="1041" spans="1:1">
      <c r="A1041" s="7" t="s">
        <v>1762</v>
      </c>
    </row>
    <row r="1042" spans="1:1">
      <c r="A1042" s="7">
        <v>707728759</v>
      </c>
    </row>
    <row r="1043" spans="1:1">
      <c r="A1043" s="7" t="s">
        <v>1763</v>
      </c>
    </row>
    <row r="1044" spans="1:1">
      <c r="A1044" s="7">
        <v>707728759</v>
      </c>
    </row>
    <row r="1045" spans="1:1">
      <c r="A1045" s="7" t="s">
        <v>1764</v>
      </c>
    </row>
    <row r="1046" spans="1:1">
      <c r="A1046" s="7">
        <v>707728759</v>
      </c>
    </row>
    <row r="1047" spans="1:1">
      <c r="A1047" s="7" t="s">
        <v>1765</v>
      </c>
    </row>
    <row r="1048" spans="1:1">
      <c r="A1048" s="7">
        <v>707728759</v>
      </c>
    </row>
    <row r="1049" spans="1:1">
      <c r="A1049" s="7" t="s">
        <v>1766</v>
      </c>
    </row>
    <row r="1050" spans="1:1">
      <c r="A1050" s="7">
        <v>707728759</v>
      </c>
    </row>
    <row r="1051" spans="1:1">
      <c r="A1051" s="7" t="s">
        <v>1767</v>
      </c>
    </row>
    <row r="1052" spans="1:1">
      <c r="A1052" s="7">
        <v>707728759</v>
      </c>
    </row>
    <row r="1053" spans="1:1">
      <c r="A1053" s="7" t="s">
        <v>1768</v>
      </c>
    </row>
    <row r="1054" spans="1:1">
      <c r="A1054" s="7">
        <v>707728759</v>
      </c>
    </row>
    <row r="1055" spans="1:1">
      <c r="A1055" s="7" t="s">
        <v>1769</v>
      </c>
    </row>
    <row r="1056" spans="1:1">
      <c r="A1056" s="7">
        <v>707728759</v>
      </c>
    </row>
    <row r="1057" spans="1:3">
      <c r="A1057" s="7" t="s">
        <v>1770</v>
      </c>
    </row>
    <row r="1058" spans="1:3">
      <c r="A1058" s="7">
        <v>707728759</v>
      </c>
    </row>
    <row r="1059" spans="1:3">
      <c r="A1059" s="7" t="s">
        <v>1771</v>
      </c>
    </row>
    <row r="1060" spans="1:3">
      <c r="A1060" s="7">
        <v>707728759</v>
      </c>
    </row>
    <row r="1061" spans="1:3">
      <c r="A1061" s="7" t="s">
        <v>1772</v>
      </c>
    </row>
    <row r="1062" spans="1:3">
      <c r="A1062" s="7">
        <v>707728759</v>
      </c>
    </row>
    <row r="1063" spans="1:3">
      <c r="A1063" s="3" t="s">
        <v>1773</v>
      </c>
      <c r="B1063">
        <f>1062/2</f>
        <v>531</v>
      </c>
      <c r="C1063" s="8">
        <v>0.11458333333333333</v>
      </c>
    </row>
    <row r="1064" spans="1:3">
      <c r="C1064" s="9" t="s">
        <v>1774</v>
      </c>
    </row>
    <row r="1066" spans="1:3">
      <c r="A1066" t="s">
        <v>1775</v>
      </c>
      <c r="B1066" s="1">
        <v>84001458</v>
      </c>
    </row>
    <row r="1067" spans="1:3">
      <c r="A1067" t="s">
        <v>1776</v>
      </c>
      <c r="B1067" s="1">
        <v>84001458</v>
      </c>
    </row>
    <row r="1068" spans="1:3">
      <c r="A1068" t="s">
        <v>1777</v>
      </c>
      <c r="B1068" s="1">
        <v>45</v>
      </c>
    </row>
    <row r="1069" spans="1:3">
      <c r="A1069" t="s">
        <v>1778</v>
      </c>
      <c r="B1069" s="1">
        <v>531</v>
      </c>
    </row>
    <row r="1070" spans="1:3">
      <c r="A1070" t="s">
        <v>1779</v>
      </c>
      <c r="B1070" s="1">
        <v>4632</v>
      </c>
    </row>
    <row r="1071" spans="1:3">
      <c r="A1071"/>
      <c r="B1071" s="1"/>
    </row>
    <row r="1072" spans="1:3">
      <c r="A1072"/>
      <c r="B1072" s="1"/>
    </row>
    <row r="1073" spans="1:2">
      <c r="A1073" t="s">
        <v>1780</v>
      </c>
      <c r="B1073" s="2">
        <v>40700</v>
      </c>
    </row>
    <row r="1074" spans="1:2">
      <c r="A1074" t="s">
        <v>1781</v>
      </c>
      <c r="B1074" s="12" t="s">
        <v>1791</v>
      </c>
    </row>
    <row r="1075" spans="1:2">
      <c r="A1075" t="s">
        <v>1782</v>
      </c>
      <c r="B1075" s="2">
        <v>40701</v>
      </c>
    </row>
    <row r="1076" spans="1:2">
      <c r="A1076" t="s">
        <v>1783</v>
      </c>
      <c r="B1076" s="12">
        <v>0.11458333333333333</v>
      </c>
    </row>
    <row r="1077" spans="1:2">
      <c r="A1077"/>
    </row>
    <row r="1078" spans="1:2">
      <c r="A1078"/>
    </row>
    <row r="1079" spans="1:2">
      <c r="A1079">
        <v>219305.25</v>
      </c>
    </row>
    <row r="1080" spans="1:2">
      <c r="A1080"/>
    </row>
    <row r="1081" spans="1:2">
      <c r="A1081"/>
    </row>
    <row r="1082" spans="1:2">
      <c r="A1082"/>
    </row>
    <row r="1083" spans="1:2">
      <c r="A1083" t="s">
        <v>1784</v>
      </c>
    </row>
    <row r="1084" spans="1:2">
      <c r="A1084" t="s">
        <v>1785</v>
      </c>
    </row>
    <row r="1085" spans="1:2">
      <c r="A1085" t="s">
        <v>1792</v>
      </c>
    </row>
    <row r="1086" spans="1:2">
      <c r="A1086" t="s">
        <v>1793</v>
      </c>
    </row>
  </sheetData>
  <sortState ref="A2:A2472">
    <sortCondition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75"/>
  <sheetViews>
    <sheetView workbookViewId="0">
      <selection activeCell="A2" sqref="A2"/>
    </sheetView>
  </sheetViews>
  <sheetFormatPr defaultRowHeight="15"/>
  <cols>
    <col min="1" max="1" width="25" style="7" bestFit="1" customWidth="1"/>
    <col min="2" max="2" width="24.85546875" style="7" bestFit="1" customWidth="1"/>
    <col min="3" max="3" width="10.42578125" style="7" bestFit="1" customWidth="1"/>
    <col min="4" max="4" width="10.28515625" style="7" bestFit="1" customWidth="1"/>
    <col min="5" max="16384" width="9.140625" style="7"/>
  </cols>
  <sheetData>
    <row r="1" spans="1:4">
      <c r="A1" s="7" t="s">
        <v>742</v>
      </c>
      <c r="B1" s="7" t="s">
        <v>113</v>
      </c>
      <c r="C1" s="7" t="s">
        <v>743</v>
      </c>
      <c r="D1" s="7" t="s">
        <v>969</v>
      </c>
    </row>
    <row r="2" spans="1:4">
      <c r="A2" s="7" t="s">
        <v>439</v>
      </c>
      <c r="B2" s="7" t="s">
        <v>124</v>
      </c>
      <c r="C2" s="7" t="s">
        <v>21</v>
      </c>
      <c r="D2" s="7" t="s">
        <v>976</v>
      </c>
    </row>
    <row r="3" spans="1:4">
      <c r="A3" s="7" t="s">
        <v>457</v>
      </c>
      <c r="B3" s="7" t="s">
        <v>112</v>
      </c>
      <c r="C3" s="7" t="s">
        <v>19</v>
      </c>
      <c r="D3" s="7" t="s">
        <v>949</v>
      </c>
    </row>
    <row r="4" spans="1:4">
      <c r="A4" s="7" t="s">
        <v>455</v>
      </c>
      <c r="B4" s="7" t="s">
        <v>98</v>
      </c>
      <c r="C4" s="7" t="s">
        <v>741</v>
      </c>
      <c r="D4" s="7" t="s">
        <v>975</v>
      </c>
    </row>
    <row r="5" spans="1:4">
      <c r="A5" s="7" t="s">
        <v>997</v>
      </c>
      <c r="B5" s="7" t="s">
        <v>111</v>
      </c>
      <c r="C5" s="7" t="s">
        <v>7</v>
      </c>
      <c r="D5" s="7" t="s">
        <v>945</v>
      </c>
    </row>
    <row r="6" spans="1:4">
      <c r="A6" s="7" t="s">
        <v>996</v>
      </c>
      <c r="B6" s="7" t="s">
        <v>108</v>
      </c>
      <c r="C6" s="7" t="s">
        <v>6</v>
      </c>
      <c r="D6" s="7" t="s">
        <v>955</v>
      </c>
    </row>
    <row r="7" spans="1:4">
      <c r="A7" s="7" t="s">
        <v>15</v>
      </c>
      <c r="B7" s="7" t="s">
        <v>107</v>
      </c>
      <c r="C7" s="7" t="s">
        <v>856</v>
      </c>
      <c r="D7" s="7" t="s">
        <v>957</v>
      </c>
    </row>
    <row r="8" spans="1:4">
      <c r="A8" s="7" t="s">
        <v>14</v>
      </c>
      <c r="B8" s="7" t="s">
        <v>129</v>
      </c>
      <c r="C8" s="7" t="s">
        <v>855</v>
      </c>
      <c r="D8" s="7" t="s">
        <v>960</v>
      </c>
    </row>
    <row r="9" spans="1:4">
      <c r="A9" s="7" t="s">
        <v>13</v>
      </c>
      <c r="B9" s="7" t="s">
        <v>121</v>
      </c>
      <c r="C9" s="7" t="s">
        <v>857</v>
      </c>
      <c r="D9" s="7" t="s">
        <v>942</v>
      </c>
    </row>
    <row r="10" spans="1:4">
      <c r="A10" s="7" t="s">
        <v>906</v>
      </c>
      <c r="B10" s="7" t="s">
        <v>106</v>
      </c>
      <c r="C10" s="7" t="s">
        <v>18</v>
      </c>
      <c r="D10" s="7" t="s">
        <v>958</v>
      </c>
    </row>
    <row r="11" spans="1:4">
      <c r="A11" s="7" t="s">
        <v>940</v>
      </c>
      <c r="B11" s="7" t="s">
        <v>120</v>
      </c>
      <c r="C11" s="7" t="s">
        <v>740</v>
      </c>
      <c r="D11" s="7" t="s">
        <v>952</v>
      </c>
    </row>
    <row r="12" spans="1:4">
      <c r="A12" s="7" t="s">
        <v>926</v>
      </c>
      <c r="B12" s="7" t="s">
        <v>105</v>
      </c>
      <c r="C12" s="7" t="s">
        <v>11</v>
      </c>
      <c r="D12" s="7" t="s">
        <v>971</v>
      </c>
    </row>
    <row r="13" spans="1:4">
      <c r="A13" s="7" t="s">
        <v>922</v>
      </c>
      <c r="B13" s="7" t="s">
        <v>122</v>
      </c>
      <c r="C13" s="7" t="s">
        <v>10</v>
      </c>
      <c r="D13" s="7" t="s">
        <v>944</v>
      </c>
    </row>
    <row r="14" spans="1:4">
      <c r="A14" s="7" t="s">
        <v>924</v>
      </c>
      <c r="B14" s="7" t="s">
        <v>119</v>
      </c>
      <c r="C14" s="7" t="s">
        <v>20</v>
      </c>
      <c r="D14" s="7" t="s">
        <v>791</v>
      </c>
    </row>
    <row r="15" spans="1:4">
      <c r="A15" s="7" t="s">
        <v>939</v>
      </c>
      <c r="B15" s="7" t="s">
        <v>102</v>
      </c>
      <c r="C15" s="7" t="s">
        <v>468</v>
      </c>
      <c r="D15" s="7" t="s">
        <v>790</v>
      </c>
    </row>
    <row r="16" spans="1:4">
      <c r="A16" s="7" t="s">
        <v>935</v>
      </c>
      <c r="B16" s="7" t="s">
        <v>104</v>
      </c>
      <c r="C16" s="7" t="s">
        <v>467</v>
      </c>
      <c r="D16" s="7" t="s">
        <v>792</v>
      </c>
    </row>
    <row r="17" spans="1:4">
      <c r="A17" s="7" t="s">
        <v>929</v>
      </c>
      <c r="B17" s="7" t="s">
        <v>565</v>
      </c>
      <c r="C17" s="7" t="s">
        <v>462</v>
      </c>
      <c r="D17" s="7" t="s">
        <v>789</v>
      </c>
    </row>
    <row r="18" spans="1:4">
      <c r="A18" s="7" t="s">
        <v>923</v>
      </c>
      <c r="B18" s="7" t="s">
        <v>583</v>
      </c>
      <c r="C18" s="7" t="s">
        <v>463</v>
      </c>
      <c r="D18" s="7" t="s">
        <v>793</v>
      </c>
    </row>
    <row r="19" spans="1:4">
      <c r="A19" s="7" t="s">
        <v>937</v>
      </c>
      <c r="B19" s="7" t="s">
        <v>573</v>
      </c>
      <c r="C19" s="7" t="s">
        <v>466</v>
      </c>
      <c r="D19" s="7" t="s">
        <v>774</v>
      </c>
    </row>
    <row r="20" spans="1:4">
      <c r="A20" s="7" t="s">
        <v>907</v>
      </c>
      <c r="B20" s="7" t="s">
        <v>584</v>
      </c>
      <c r="C20" s="7" t="s">
        <v>458</v>
      </c>
      <c r="D20" s="7" t="s">
        <v>778</v>
      </c>
    </row>
    <row r="21" spans="1:4">
      <c r="A21" s="7" t="s">
        <v>934</v>
      </c>
      <c r="B21" s="7" t="s">
        <v>582</v>
      </c>
      <c r="C21" s="7" t="s">
        <v>755</v>
      </c>
      <c r="D21" s="7" t="s">
        <v>776</v>
      </c>
    </row>
    <row r="22" spans="1:4">
      <c r="A22" s="7" t="s">
        <v>933</v>
      </c>
      <c r="B22" s="7" t="s">
        <v>576</v>
      </c>
      <c r="C22" s="7" t="s">
        <v>1000</v>
      </c>
      <c r="D22" s="7" t="s">
        <v>777</v>
      </c>
    </row>
    <row r="23" spans="1:4">
      <c r="A23" s="7" t="s">
        <v>930</v>
      </c>
      <c r="B23" s="7" t="s">
        <v>575</v>
      </c>
      <c r="C23" s="7" t="s">
        <v>757</v>
      </c>
      <c r="D23" s="7" t="s">
        <v>775</v>
      </c>
    </row>
    <row r="24" spans="1:4">
      <c r="A24" s="7" t="s">
        <v>938</v>
      </c>
      <c r="B24" s="7" t="s">
        <v>585</v>
      </c>
      <c r="C24" s="7" t="s">
        <v>137</v>
      </c>
      <c r="D24" s="7" t="s">
        <v>1002</v>
      </c>
    </row>
    <row r="25" spans="1:4">
      <c r="A25" s="7" t="s">
        <v>931</v>
      </c>
      <c r="B25" s="7" t="s">
        <v>874</v>
      </c>
      <c r="C25" s="7" t="s">
        <v>1123</v>
      </c>
      <c r="D25" s="7" t="s">
        <v>1003</v>
      </c>
    </row>
    <row r="26" spans="1:4">
      <c r="A26" s="7" t="s">
        <v>739</v>
      </c>
      <c r="B26" s="7" t="s">
        <v>903</v>
      </c>
      <c r="C26" s="7" t="s">
        <v>1125</v>
      </c>
      <c r="D26" s="7" t="s">
        <v>1001</v>
      </c>
    </row>
    <row r="27" spans="1:4">
      <c r="A27" s="7" t="s">
        <v>918</v>
      </c>
      <c r="B27" s="7" t="s">
        <v>883</v>
      </c>
      <c r="C27" s="7" t="s">
        <v>1127</v>
      </c>
      <c r="D27" s="7" t="s">
        <v>1004</v>
      </c>
    </row>
    <row r="28" spans="1:4">
      <c r="A28" s="7" t="s">
        <v>925</v>
      </c>
      <c r="B28" s="7" t="s">
        <v>753</v>
      </c>
      <c r="C28" s="7" t="s">
        <v>1128</v>
      </c>
      <c r="D28" s="7" t="s">
        <v>1124</v>
      </c>
    </row>
    <row r="29" spans="1:4">
      <c r="A29" s="7" t="s">
        <v>912</v>
      </c>
      <c r="B29" s="7" t="s">
        <v>890</v>
      </c>
      <c r="C29" s="7" t="s">
        <v>1126</v>
      </c>
      <c r="D29" s="7" t="s">
        <v>735</v>
      </c>
    </row>
    <row r="30" spans="1:4">
      <c r="A30" s="7" t="s">
        <v>917</v>
      </c>
      <c r="B30" s="7" t="s">
        <v>738</v>
      </c>
      <c r="C30" s="7" t="s">
        <v>988</v>
      </c>
      <c r="D30" s="7" t="s">
        <v>440</v>
      </c>
    </row>
    <row r="31" spans="1:4">
      <c r="A31" s="7" t="s">
        <v>913</v>
      </c>
      <c r="B31" s="7" t="s">
        <v>566</v>
      </c>
      <c r="C31" s="7" t="s">
        <v>989</v>
      </c>
      <c r="D31" s="7" t="s">
        <v>747</v>
      </c>
    </row>
    <row r="32" spans="1:4">
      <c r="A32" s="7" t="s">
        <v>916</v>
      </c>
      <c r="B32" s="7" t="s">
        <v>352</v>
      </c>
      <c r="C32" s="7" t="s">
        <v>760</v>
      </c>
      <c r="D32" s="7" t="s">
        <v>746</v>
      </c>
    </row>
    <row r="33" spans="1:4">
      <c r="A33" s="7" t="s">
        <v>911</v>
      </c>
      <c r="B33" s="7" t="s">
        <v>562</v>
      </c>
      <c r="C33" s="7" t="s">
        <v>763</v>
      </c>
      <c r="D33" s="7" t="s">
        <v>986</v>
      </c>
    </row>
    <row r="34" spans="1:4">
      <c r="A34" s="7" t="s">
        <v>914</v>
      </c>
      <c r="B34" s="7" t="s">
        <v>343</v>
      </c>
      <c r="C34" s="7" t="s">
        <v>759</v>
      </c>
      <c r="D34" s="7" t="s">
        <v>732</v>
      </c>
    </row>
    <row r="35" spans="1:4">
      <c r="A35" s="7" t="s">
        <v>928</v>
      </c>
      <c r="B35" s="7" t="s">
        <v>432</v>
      </c>
      <c r="C35" s="7" t="s">
        <v>762</v>
      </c>
      <c r="D35" s="7" t="s">
        <v>736</v>
      </c>
    </row>
    <row r="36" spans="1:4">
      <c r="A36" s="7" t="s">
        <v>920</v>
      </c>
      <c r="B36" s="7" t="s">
        <v>376</v>
      </c>
      <c r="C36" s="7" t="s">
        <v>761</v>
      </c>
      <c r="D36" s="7" t="s">
        <v>208</v>
      </c>
    </row>
    <row r="37" spans="1:4">
      <c r="A37" s="7" t="s">
        <v>905</v>
      </c>
      <c r="B37" s="7" t="s">
        <v>370</v>
      </c>
      <c r="C37" s="7" t="s">
        <v>765</v>
      </c>
      <c r="D37" s="7" t="s">
        <v>724</v>
      </c>
    </row>
    <row r="38" spans="1:4">
      <c r="A38" s="7" t="s">
        <v>910</v>
      </c>
      <c r="B38" s="7" t="s">
        <v>347</v>
      </c>
      <c r="C38" s="7" t="s">
        <v>764</v>
      </c>
      <c r="D38" s="7" t="s">
        <v>723</v>
      </c>
    </row>
    <row r="39" spans="1:4">
      <c r="A39" s="7" t="s">
        <v>919</v>
      </c>
      <c r="B39" s="7" t="s">
        <v>350</v>
      </c>
      <c r="C39" s="7" t="s">
        <v>985</v>
      </c>
      <c r="D39" s="7" t="s">
        <v>140</v>
      </c>
    </row>
    <row r="40" spans="1:4">
      <c r="A40" s="7" t="s">
        <v>86</v>
      </c>
      <c r="B40" s="7" t="s">
        <v>344</v>
      </c>
      <c r="C40" s="7" t="s">
        <v>861</v>
      </c>
      <c r="D40" s="7" t="s">
        <v>138</v>
      </c>
    </row>
    <row r="41" spans="1:4">
      <c r="A41" s="7" t="s">
        <v>71</v>
      </c>
      <c r="B41" s="7" t="s">
        <v>349</v>
      </c>
      <c r="C41" s="7" t="s">
        <v>758</v>
      </c>
      <c r="D41" s="7" t="s">
        <v>200</v>
      </c>
    </row>
    <row r="42" spans="1:4">
      <c r="A42" s="7" t="s">
        <v>68</v>
      </c>
      <c r="B42" s="7" t="s">
        <v>354</v>
      </c>
      <c r="C42" s="7" t="s">
        <v>987</v>
      </c>
      <c r="D42" s="7" t="s">
        <v>189</v>
      </c>
    </row>
    <row r="43" spans="1:4">
      <c r="A43" s="7" t="s">
        <v>74</v>
      </c>
      <c r="B43" s="7" t="s">
        <v>586</v>
      </c>
      <c r="C43" s="7" t="s">
        <v>1005</v>
      </c>
      <c r="D43" s="7" t="s">
        <v>143</v>
      </c>
    </row>
    <row r="44" spans="1:4">
      <c r="A44" s="7" t="s">
        <v>96</v>
      </c>
      <c r="B44" s="7" t="s">
        <v>587</v>
      </c>
      <c r="C44" s="7" t="s">
        <v>751</v>
      </c>
      <c r="D44" s="7" t="s">
        <v>141</v>
      </c>
    </row>
    <row r="45" spans="1:4">
      <c r="A45" s="7" t="s">
        <v>84</v>
      </c>
      <c r="B45" s="7" t="s">
        <v>590</v>
      </c>
      <c r="C45" s="7" t="s">
        <v>750</v>
      </c>
      <c r="D45" s="7" t="s">
        <v>190</v>
      </c>
    </row>
    <row r="46" spans="1:4">
      <c r="A46" s="7" t="s">
        <v>72</v>
      </c>
      <c r="B46" s="7" t="s">
        <v>355</v>
      </c>
      <c r="C46" s="7" t="s">
        <v>731</v>
      </c>
      <c r="D46" s="7" t="s">
        <v>195</v>
      </c>
    </row>
    <row r="47" spans="1:4">
      <c r="A47" s="7" t="s">
        <v>73</v>
      </c>
      <c r="B47" s="7" t="s">
        <v>559</v>
      </c>
      <c r="C47" s="7" t="s">
        <v>795</v>
      </c>
      <c r="D47" s="7" t="s">
        <v>198</v>
      </c>
    </row>
    <row r="48" spans="1:4">
      <c r="A48" s="7" t="s">
        <v>89</v>
      </c>
      <c r="B48" s="7" t="s">
        <v>212</v>
      </c>
      <c r="C48" s="7" t="s">
        <v>799</v>
      </c>
      <c r="D48" s="7" t="s">
        <v>184</v>
      </c>
    </row>
    <row r="49" spans="1:4">
      <c r="A49" s="7" t="s">
        <v>90</v>
      </c>
      <c r="B49" s="7" t="s">
        <v>223</v>
      </c>
      <c r="C49" s="7" t="s">
        <v>811</v>
      </c>
      <c r="D49" s="7" t="s">
        <v>194</v>
      </c>
    </row>
    <row r="50" spans="1:4">
      <c r="A50" s="7" t="s">
        <v>69</v>
      </c>
      <c r="B50" s="7" t="s">
        <v>246</v>
      </c>
      <c r="C50" s="7" t="s">
        <v>809</v>
      </c>
      <c r="D50" s="7" t="s">
        <v>191</v>
      </c>
    </row>
    <row r="51" spans="1:4">
      <c r="A51" s="7" t="s">
        <v>70</v>
      </c>
      <c r="B51" s="7" t="s">
        <v>368</v>
      </c>
      <c r="C51" s="7" t="s">
        <v>817</v>
      </c>
      <c r="D51" s="7" t="s">
        <v>149</v>
      </c>
    </row>
    <row r="52" spans="1:4">
      <c r="A52" s="7" t="s">
        <v>66</v>
      </c>
      <c r="B52" s="7" t="s">
        <v>374</v>
      </c>
      <c r="C52" s="7" t="s">
        <v>807</v>
      </c>
      <c r="D52" s="7" t="s">
        <v>148</v>
      </c>
    </row>
    <row r="53" spans="1:4">
      <c r="A53" s="7" t="s">
        <v>87</v>
      </c>
      <c r="B53" s="7" t="s">
        <v>377</v>
      </c>
      <c r="C53" s="7" t="s">
        <v>823</v>
      </c>
      <c r="D53" s="7" t="s">
        <v>201</v>
      </c>
    </row>
    <row r="54" spans="1:4">
      <c r="A54" s="7" t="s">
        <v>88</v>
      </c>
      <c r="B54" s="7" t="s">
        <v>371</v>
      </c>
      <c r="C54" s="7" t="s">
        <v>796</v>
      </c>
      <c r="D54" s="7" t="s">
        <v>187</v>
      </c>
    </row>
    <row r="55" spans="1:4">
      <c r="A55" s="7" t="s">
        <v>67</v>
      </c>
      <c r="B55" s="7" t="s">
        <v>362</v>
      </c>
      <c r="C55" s="7" t="s">
        <v>808</v>
      </c>
      <c r="D55" s="7" t="s">
        <v>186</v>
      </c>
    </row>
    <row r="56" spans="1:4">
      <c r="A56" s="7" t="s">
        <v>95</v>
      </c>
      <c r="B56" s="7" t="s">
        <v>358</v>
      </c>
      <c r="C56" s="7" t="s">
        <v>806</v>
      </c>
      <c r="D56" s="7" t="s">
        <v>193</v>
      </c>
    </row>
    <row r="57" spans="1:4">
      <c r="A57" s="7" t="s">
        <v>82</v>
      </c>
      <c r="B57" s="7" t="s">
        <v>369</v>
      </c>
      <c r="C57" s="7" t="s">
        <v>815</v>
      </c>
      <c r="D57" s="7" t="s">
        <v>197</v>
      </c>
    </row>
    <row r="58" spans="1:4">
      <c r="A58" s="7" t="s">
        <v>81</v>
      </c>
      <c r="B58" s="7" t="s">
        <v>357</v>
      </c>
      <c r="C58" s="7" t="s">
        <v>802</v>
      </c>
      <c r="D58" s="7" t="s">
        <v>188</v>
      </c>
    </row>
    <row r="59" spans="1:4">
      <c r="A59" s="7" t="s">
        <v>94</v>
      </c>
      <c r="B59" s="7" t="s">
        <v>227</v>
      </c>
      <c r="C59" s="7" t="s">
        <v>814</v>
      </c>
      <c r="D59" s="7" t="s">
        <v>146</v>
      </c>
    </row>
    <row r="60" spans="1:4">
      <c r="A60" s="7" t="s">
        <v>92</v>
      </c>
      <c r="B60" s="7" t="s">
        <v>231</v>
      </c>
      <c r="C60" s="7" t="s">
        <v>810</v>
      </c>
      <c r="D60" s="7" t="s">
        <v>145</v>
      </c>
    </row>
    <row r="61" spans="1:4">
      <c r="A61" s="7" t="s">
        <v>91</v>
      </c>
      <c r="B61" s="7" t="s">
        <v>214</v>
      </c>
      <c r="C61" s="7" t="s">
        <v>801</v>
      </c>
      <c r="D61" s="7" t="s">
        <v>192</v>
      </c>
    </row>
    <row r="62" spans="1:4">
      <c r="A62" s="7" t="s">
        <v>93</v>
      </c>
      <c r="B62" s="7" t="s">
        <v>242</v>
      </c>
      <c r="C62" s="7" t="s">
        <v>820</v>
      </c>
      <c r="D62" s="7" t="s">
        <v>185</v>
      </c>
    </row>
    <row r="63" spans="1:4">
      <c r="A63" s="7" t="s">
        <v>61</v>
      </c>
      <c r="B63" s="7" t="s">
        <v>233</v>
      </c>
      <c r="C63" s="7" t="s">
        <v>816</v>
      </c>
      <c r="D63" s="7" t="s">
        <v>203</v>
      </c>
    </row>
    <row r="64" spans="1:4">
      <c r="A64" s="7" t="s">
        <v>83</v>
      </c>
      <c r="B64" s="7" t="s">
        <v>216</v>
      </c>
      <c r="C64" s="7" t="s">
        <v>803</v>
      </c>
      <c r="D64" s="7" t="s">
        <v>142</v>
      </c>
    </row>
    <row r="65" spans="1:4">
      <c r="A65" s="7" t="s">
        <v>77</v>
      </c>
      <c r="B65" s="7" t="s">
        <v>240</v>
      </c>
      <c r="C65" s="7" t="s">
        <v>818</v>
      </c>
      <c r="D65" s="7" t="s">
        <v>139</v>
      </c>
    </row>
    <row r="66" spans="1:4">
      <c r="A66" s="7" t="s">
        <v>75</v>
      </c>
      <c r="B66" s="7" t="s">
        <v>219</v>
      </c>
      <c r="C66" s="7" t="s">
        <v>822</v>
      </c>
      <c r="D66" s="7" t="s">
        <v>196</v>
      </c>
    </row>
    <row r="67" spans="1:4">
      <c r="A67" s="7" t="s">
        <v>76</v>
      </c>
      <c r="B67" s="7" t="s">
        <v>232</v>
      </c>
      <c r="C67" s="7" t="s">
        <v>812</v>
      </c>
      <c r="D67" s="7" t="s">
        <v>202</v>
      </c>
    </row>
    <row r="68" spans="1:4">
      <c r="A68" s="7" t="s">
        <v>62</v>
      </c>
      <c r="B68" s="7" t="s">
        <v>238</v>
      </c>
      <c r="C68" s="7" t="s">
        <v>821</v>
      </c>
      <c r="D68" s="7" t="s">
        <v>144</v>
      </c>
    </row>
    <row r="69" spans="1:4">
      <c r="A69" s="7" t="s">
        <v>64</v>
      </c>
      <c r="B69" s="7" t="s">
        <v>571</v>
      </c>
      <c r="C69" s="7" t="s">
        <v>797</v>
      </c>
      <c r="D69" s="7" t="s">
        <v>147</v>
      </c>
    </row>
    <row r="70" spans="1:4">
      <c r="A70" s="7" t="s">
        <v>80</v>
      </c>
      <c r="B70" s="7" t="s">
        <v>230</v>
      </c>
      <c r="C70" s="7" t="s">
        <v>794</v>
      </c>
      <c r="D70" s="7" t="s">
        <v>199</v>
      </c>
    </row>
    <row r="71" spans="1:4">
      <c r="A71" s="7" t="s">
        <v>65</v>
      </c>
      <c r="B71" s="7" t="s">
        <v>218</v>
      </c>
      <c r="C71" s="7" t="s">
        <v>813</v>
      </c>
      <c r="D71" s="7" t="s">
        <v>150</v>
      </c>
    </row>
    <row r="72" spans="1:4">
      <c r="A72" s="7" t="s">
        <v>79</v>
      </c>
      <c r="B72" s="7" t="s">
        <v>229</v>
      </c>
      <c r="C72" s="7" t="s">
        <v>805</v>
      </c>
      <c r="D72" s="7" t="s">
        <v>683</v>
      </c>
    </row>
    <row r="73" spans="1:4">
      <c r="A73" s="7" t="s">
        <v>78</v>
      </c>
      <c r="B73" s="7" t="s">
        <v>217</v>
      </c>
      <c r="C73" s="7" t="s">
        <v>819</v>
      </c>
      <c r="D73" s="7" t="s">
        <v>678</v>
      </c>
    </row>
    <row r="74" spans="1:4">
      <c r="A74" s="7" t="s">
        <v>85</v>
      </c>
      <c r="B74" s="7" t="s">
        <v>225</v>
      </c>
      <c r="C74" s="7" t="s">
        <v>798</v>
      </c>
      <c r="D74" s="7" t="s">
        <v>540</v>
      </c>
    </row>
    <row r="75" spans="1:4">
      <c r="A75" s="7" t="s">
        <v>63</v>
      </c>
      <c r="B75" s="7" t="s">
        <v>237</v>
      </c>
      <c r="C75" s="7" t="s">
        <v>800</v>
      </c>
      <c r="D75" s="7" t="s">
        <v>541</v>
      </c>
    </row>
    <row r="76" spans="1:4">
      <c r="A76" s="7" t="s">
        <v>266</v>
      </c>
      <c r="B76" s="7" t="s">
        <v>226</v>
      </c>
      <c r="C76" s="7" t="s">
        <v>804</v>
      </c>
      <c r="D76" s="7" t="s">
        <v>695</v>
      </c>
    </row>
    <row r="77" spans="1:4">
      <c r="A77" s="7" t="s">
        <v>261</v>
      </c>
      <c r="B77" s="7" t="s">
        <v>213</v>
      </c>
      <c r="C77" s="7" t="s">
        <v>673</v>
      </c>
      <c r="D77" s="7" t="s">
        <v>682</v>
      </c>
    </row>
    <row r="78" spans="1:4">
      <c r="A78" s="7" t="s">
        <v>254</v>
      </c>
      <c r="B78" s="7" t="s">
        <v>341</v>
      </c>
      <c r="C78" s="7" t="s">
        <v>668</v>
      </c>
      <c r="D78" s="7" t="s">
        <v>681</v>
      </c>
    </row>
    <row r="79" spans="1:4">
      <c r="A79" s="7" t="s">
        <v>248</v>
      </c>
      <c r="B79" s="7" t="s">
        <v>372</v>
      </c>
      <c r="C79" s="7" t="s">
        <v>663</v>
      </c>
      <c r="D79" s="7" t="s">
        <v>555</v>
      </c>
    </row>
    <row r="80" spans="1:4">
      <c r="A80" s="7" t="s">
        <v>278</v>
      </c>
      <c r="B80" s="7" t="s">
        <v>351</v>
      </c>
      <c r="C80" s="7" t="s">
        <v>662</v>
      </c>
      <c r="D80" s="7" t="s">
        <v>692</v>
      </c>
    </row>
    <row r="81" spans="1:4">
      <c r="A81" s="7" t="s">
        <v>605</v>
      </c>
      <c r="B81" s="7" t="s">
        <v>345</v>
      </c>
      <c r="C81" s="7" t="s">
        <v>667</v>
      </c>
      <c r="D81" s="7" t="s">
        <v>553</v>
      </c>
    </row>
    <row r="82" spans="1:4">
      <c r="A82" s="7" t="s">
        <v>601</v>
      </c>
      <c r="B82" s="7" t="s">
        <v>366</v>
      </c>
      <c r="C82" s="7" t="s">
        <v>670</v>
      </c>
      <c r="D82" s="7" t="s">
        <v>554</v>
      </c>
    </row>
    <row r="83" spans="1:4">
      <c r="A83" s="7" t="s">
        <v>625</v>
      </c>
      <c r="B83" s="7" t="s">
        <v>373</v>
      </c>
      <c r="C83" s="7" t="s">
        <v>653</v>
      </c>
      <c r="D83" s="7" t="s">
        <v>546</v>
      </c>
    </row>
    <row r="84" spans="1:4">
      <c r="A84" s="7" t="s">
        <v>632</v>
      </c>
      <c r="B84" s="7" t="s">
        <v>375</v>
      </c>
      <c r="C84" s="7" t="s">
        <v>649</v>
      </c>
      <c r="D84" s="7" t="s">
        <v>557</v>
      </c>
    </row>
    <row r="85" spans="1:4">
      <c r="A85" s="7" t="s">
        <v>614</v>
      </c>
      <c r="B85" s="7" t="s">
        <v>569</v>
      </c>
      <c r="C85" s="7" t="s">
        <v>659</v>
      </c>
      <c r="D85" s="7" t="s">
        <v>691</v>
      </c>
    </row>
    <row r="86" spans="1:4">
      <c r="A86" s="7" t="s">
        <v>624</v>
      </c>
      <c r="B86" s="7" t="s">
        <v>589</v>
      </c>
      <c r="C86" s="7" t="s">
        <v>664</v>
      </c>
      <c r="D86" s="7" t="s">
        <v>687</v>
      </c>
    </row>
    <row r="87" spans="1:4">
      <c r="A87" s="7" t="s">
        <v>631</v>
      </c>
      <c r="B87" s="7" t="s">
        <v>563</v>
      </c>
      <c r="C87" s="7" t="s">
        <v>665</v>
      </c>
      <c r="D87" s="7" t="s">
        <v>549</v>
      </c>
    </row>
    <row r="88" spans="1:4">
      <c r="A88" s="7" t="s">
        <v>608</v>
      </c>
      <c r="B88" s="7" t="s">
        <v>592</v>
      </c>
      <c r="C88" s="7" t="s">
        <v>661</v>
      </c>
      <c r="D88" s="7" t="s">
        <v>693</v>
      </c>
    </row>
    <row r="89" spans="1:4">
      <c r="A89" s="7" t="s">
        <v>597</v>
      </c>
      <c r="B89" s="7" t="s">
        <v>591</v>
      </c>
      <c r="C89" s="7" t="s">
        <v>671</v>
      </c>
      <c r="D89" s="7" t="s">
        <v>542</v>
      </c>
    </row>
    <row r="90" spans="1:4">
      <c r="A90" s="7" t="s">
        <v>599</v>
      </c>
      <c r="B90" s="7" t="s">
        <v>353</v>
      </c>
      <c r="C90" s="7" t="s">
        <v>674</v>
      </c>
      <c r="D90" s="7" t="s">
        <v>677</v>
      </c>
    </row>
    <row r="91" spans="1:4">
      <c r="A91" s="7" t="s">
        <v>604</v>
      </c>
      <c r="B91" s="7" t="s">
        <v>356</v>
      </c>
      <c r="C91" s="7" t="s">
        <v>647</v>
      </c>
      <c r="D91" s="7" t="s">
        <v>556</v>
      </c>
    </row>
    <row r="92" spans="1:4">
      <c r="A92" s="7" t="s">
        <v>602</v>
      </c>
      <c r="B92" s="7" t="s">
        <v>234</v>
      </c>
      <c r="C92" s="7" t="s">
        <v>654</v>
      </c>
      <c r="D92" s="7" t="s">
        <v>679</v>
      </c>
    </row>
    <row r="93" spans="1:4">
      <c r="A93" s="7" t="s">
        <v>618</v>
      </c>
      <c r="B93" s="7" t="s">
        <v>235</v>
      </c>
      <c r="C93" s="7" t="s">
        <v>666</v>
      </c>
      <c r="D93" s="7" t="s">
        <v>689</v>
      </c>
    </row>
    <row r="94" spans="1:4">
      <c r="A94" s="7" t="s">
        <v>616</v>
      </c>
      <c r="B94" s="7" t="s">
        <v>210</v>
      </c>
      <c r="C94" s="7" t="s">
        <v>660</v>
      </c>
      <c r="D94" s="7" t="s">
        <v>550</v>
      </c>
    </row>
    <row r="95" spans="1:4">
      <c r="A95" s="7" t="s">
        <v>600</v>
      </c>
      <c r="B95" s="7" t="s">
        <v>245</v>
      </c>
      <c r="C95" s="7" t="s">
        <v>675</v>
      </c>
      <c r="D95" s="7" t="s">
        <v>539</v>
      </c>
    </row>
    <row r="96" spans="1:4">
      <c r="A96" s="7" t="s">
        <v>629</v>
      </c>
      <c r="B96" s="7" t="s">
        <v>244</v>
      </c>
      <c r="C96" s="7" t="s">
        <v>658</v>
      </c>
      <c r="D96" s="7" t="s">
        <v>685</v>
      </c>
    </row>
    <row r="97" spans="1:4">
      <c r="A97" s="7" t="s">
        <v>620</v>
      </c>
      <c r="B97" s="7" t="s">
        <v>228</v>
      </c>
      <c r="C97" s="7" t="s">
        <v>656</v>
      </c>
      <c r="D97" s="7" t="s">
        <v>680</v>
      </c>
    </row>
    <row r="98" spans="1:4">
      <c r="A98" s="7" t="s">
        <v>609</v>
      </c>
      <c r="B98" s="7" t="s">
        <v>220</v>
      </c>
      <c r="C98" s="7" t="s">
        <v>657</v>
      </c>
      <c r="D98" s="7" t="s">
        <v>684</v>
      </c>
    </row>
    <row r="99" spans="1:4">
      <c r="A99" s="7" t="s">
        <v>622</v>
      </c>
      <c r="B99" s="7" t="s">
        <v>204</v>
      </c>
      <c r="C99" s="7" t="s">
        <v>672</v>
      </c>
      <c r="D99" s="7" t="s">
        <v>545</v>
      </c>
    </row>
    <row r="100" spans="1:4">
      <c r="A100" s="7" t="s">
        <v>596</v>
      </c>
      <c r="B100" s="7" t="s">
        <v>594</v>
      </c>
      <c r="C100" s="7" t="s">
        <v>646</v>
      </c>
      <c r="D100" s="7" t="s">
        <v>686</v>
      </c>
    </row>
    <row r="101" spans="1:4">
      <c r="A101" s="7" t="s">
        <v>621</v>
      </c>
      <c r="B101" s="7" t="s">
        <v>1070</v>
      </c>
      <c r="C101" s="7" t="s">
        <v>652</v>
      </c>
      <c r="D101" s="7" t="s">
        <v>552</v>
      </c>
    </row>
    <row r="102" spans="1:4">
      <c r="A102" s="7" t="s">
        <v>613</v>
      </c>
      <c r="B102" s="7" t="s">
        <v>1057</v>
      </c>
      <c r="C102" s="7" t="s">
        <v>669</v>
      </c>
      <c r="D102" s="7" t="s">
        <v>694</v>
      </c>
    </row>
    <row r="103" spans="1:4">
      <c r="A103" s="7" t="s">
        <v>396</v>
      </c>
      <c r="B103" s="7" t="s">
        <v>1046</v>
      </c>
      <c r="C103" s="7" t="s">
        <v>648</v>
      </c>
      <c r="D103" s="7" t="s">
        <v>676</v>
      </c>
    </row>
    <row r="104" spans="1:4">
      <c r="A104" s="7" t="s">
        <v>405</v>
      </c>
      <c r="B104" s="7" t="s">
        <v>1079</v>
      </c>
      <c r="C104" s="7" t="s">
        <v>655</v>
      </c>
      <c r="D104" s="7" t="s">
        <v>558</v>
      </c>
    </row>
    <row r="105" spans="1:4">
      <c r="A105" s="7" t="s">
        <v>393</v>
      </c>
      <c r="B105" s="7" t="s">
        <v>1054</v>
      </c>
      <c r="C105" s="7" t="s">
        <v>651</v>
      </c>
      <c r="D105" s="7" t="s">
        <v>551</v>
      </c>
    </row>
    <row r="106" spans="1:4">
      <c r="A106" s="7" t="s">
        <v>380</v>
      </c>
      <c r="B106" s="7" t="s">
        <v>581</v>
      </c>
      <c r="C106" s="7" t="s">
        <v>650</v>
      </c>
      <c r="D106" s="7" t="s">
        <v>544</v>
      </c>
    </row>
    <row r="107" spans="1:4">
      <c r="A107" s="7" t="s">
        <v>390</v>
      </c>
      <c r="B107" s="7" t="s">
        <v>1072</v>
      </c>
      <c r="C107" s="7" t="s">
        <v>209</v>
      </c>
      <c r="D107" s="7" t="s">
        <v>547</v>
      </c>
    </row>
    <row r="108" spans="1:4">
      <c r="A108" s="7" t="s">
        <v>280</v>
      </c>
      <c r="B108" s="7" t="s">
        <v>1071</v>
      </c>
      <c r="C108" s="7" t="s">
        <v>722</v>
      </c>
      <c r="D108" s="7" t="s">
        <v>688</v>
      </c>
    </row>
    <row r="109" spans="1:4">
      <c r="A109" s="7" t="s">
        <v>272</v>
      </c>
      <c r="B109" s="7" t="s">
        <v>1053</v>
      </c>
      <c r="C109" s="7" t="s">
        <v>864</v>
      </c>
      <c r="D109" s="7" t="s">
        <v>690</v>
      </c>
    </row>
    <row r="110" spans="1:4">
      <c r="A110" s="7" t="s">
        <v>603</v>
      </c>
      <c r="B110" s="7" t="s">
        <v>1052</v>
      </c>
      <c r="C110" s="7" t="s">
        <v>725</v>
      </c>
      <c r="D110" s="7" t="s">
        <v>543</v>
      </c>
    </row>
    <row r="111" spans="1:4">
      <c r="A111" s="7" t="s">
        <v>612</v>
      </c>
      <c r="B111" s="7" t="s">
        <v>564</v>
      </c>
      <c r="C111" s="7" t="s">
        <v>862</v>
      </c>
      <c r="D111" s="7" t="s">
        <v>548</v>
      </c>
    </row>
    <row r="112" spans="1:4">
      <c r="A112" s="7" t="s">
        <v>411</v>
      </c>
      <c r="B112" s="7" t="s">
        <v>752</v>
      </c>
      <c r="C112" s="7" t="s">
        <v>865</v>
      </c>
    </row>
    <row r="113" spans="1:3">
      <c r="A113" s="7" t="s">
        <v>611</v>
      </c>
      <c r="B113" s="7" t="s">
        <v>1051</v>
      </c>
      <c r="C113" s="7" t="s">
        <v>207</v>
      </c>
    </row>
    <row r="114" spans="1:3">
      <c r="A114" s="7" t="s">
        <v>408</v>
      </c>
      <c r="B114" s="7" t="s">
        <v>1078</v>
      </c>
      <c r="C114" s="7" t="s">
        <v>854</v>
      </c>
    </row>
    <row r="115" spans="1:3">
      <c r="A115" s="7" t="s">
        <v>282</v>
      </c>
      <c r="B115" s="7" t="s">
        <v>1061</v>
      </c>
      <c r="C115" s="7" t="s">
        <v>206</v>
      </c>
    </row>
    <row r="116" spans="1:3">
      <c r="A116" s="7" t="s">
        <v>268</v>
      </c>
      <c r="B116" s="7" t="s">
        <v>1069</v>
      </c>
      <c r="C116" s="7" t="s">
        <v>442</v>
      </c>
    </row>
    <row r="117" spans="1:3">
      <c r="A117" s="7" t="s">
        <v>267</v>
      </c>
      <c r="B117" s="7" t="s">
        <v>1076</v>
      </c>
      <c r="C117" s="7" t="s">
        <v>863</v>
      </c>
    </row>
    <row r="118" spans="1:3">
      <c r="A118" s="7" t="s">
        <v>387</v>
      </c>
      <c r="B118" s="7" t="s">
        <v>1060</v>
      </c>
      <c r="C118" s="7" t="s">
        <v>443</v>
      </c>
    </row>
    <row r="119" spans="1:3">
      <c r="A119" s="7" t="s">
        <v>275</v>
      </c>
      <c r="B119" s="7" t="s">
        <v>1058</v>
      </c>
      <c r="C119" s="7" t="s">
        <v>721</v>
      </c>
    </row>
    <row r="120" spans="1:3">
      <c r="A120" s="7" t="s">
        <v>402</v>
      </c>
      <c r="B120" s="7" t="s">
        <v>1047</v>
      </c>
      <c r="C120" s="7" t="s">
        <v>999</v>
      </c>
    </row>
    <row r="121" spans="1:3">
      <c r="A121" s="7" t="s">
        <v>403</v>
      </c>
      <c r="B121" s="7" t="s">
        <v>1062</v>
      </c>
      <c r="C121" s="7" t="s">
        <v>998</v>
      </c>
    </row>
    <row r="122" spans="1:3">
      <c r="A122" s="7" t="s">
        <v>400</v>
      </c>
      <c r="B122" s="7" t="s">
        <v>1044</v>
      </c>
      <c r="C122" s="7" t="s">
        <v>1122</v>
      </c>
    </row>
    <row r="123" spans="1:3">
      <c r="A123" s="7" t="s">
        <v>401</v>
      </c>
      <c r="B123" s="7" t="s">
        <v>1050</v>
      </c>
      <c r="C123" s="7" t="s">
        <v>447</v>
      </c>
    </row>
    <row r="124" spans="1:3">
      <c r="A124" s="7" t="s">
        <v>283</v>
      </c>
      <c r="B124" s="7" t="s">
        <v>1067</v>
      </c>
      <c r="C124" s="7" t="s">
        <v>446</v>
      </c>
    </row>
    <row r="125" spans="1:3">
      <c r="A125" s="7" t="s">
        <v>269</v>
      </c>
      <c r="B125" s="7" t="s">
        <v>1074</v>
      </c>
      <c r="C125" s="7" t="s">
        <v>434</v>
      </c>
    </row>
    <row r="126" spans="1:3">
      <c r="A126" s="7" t="s">
        <v>250</v>
      </c>
      <c r="B126" s="7" t="s">
        <v>1065</v>
      </c>
      <c r="C126" s="7" t="s">
        <v>454</v>
      </c>
    </row>
    <row r="127" spans="1:3">
      <c r="A127" s="7" t="s">
        <v>249</v>
      </c>
      <c r="B127" s="7" t="s">
        <v>1068</v>
      </c>
      <c r="C127" s="7" t="s">
        <v>453</v>
      </c>
    </row>
    <row r="128" spans="1:3">
      <c r="A128" s="7" t="s">
        <v>379</v>
      </c>
      <c r="B128" s="7" t="s">
        <v>1073</v>
      </c>
      <c r="C128" s="7" t="s">
        <v>437</v>
      </c>
    </row>
    <row r="129" spans="1:3">
      <c r="A129" s="7" t="s">
        <v>407</v>
      </c>
      <c r="B129" s="7" t="s">
        <v>1064</v>
      </c>
      <c r="C129" s="7" t="s">
        <v>438</v>
      </c>
    </row>
    <row r="130" spans="1:3">
      <c r="A130" s="7" t="s">
        <v>383</v>
      </c>
      <c r="B130" s="7" t="s">
        <v>1049</v>
      </c>
      <c r="C130" s="7" t="s">
        <v>1015</v>
      </c>
    </row>
    <row r="131" spans="1:3">
      <c r="A131" s="7" t="s">
        <v>382</v>
      </c>
      <c r="B131" s="7" t="s">
        <v>1183</v>
      </c>
      <c r="C131" s="7" t="s">
        <v>1026</v>
      </c>
    </row>
    <row r="132" spans="1:3">
      <c r="A132" s="7" t="s">
        <v>273</v>
      </c>
      <c r="B132" s="7" t="s">
        <v>1177</v>
      </c>
      <c r="C132" s="7" t="s">
        <v>1014</v>
      </c>
    </row>
    <row r="133" spans="1:3">
      <c r="A133" s="7" t="s">
        <v>388</v>
      </c>
      <c r="B133" s="7" t="s">
        <v>1176</v>
      </c>
      <c r="C133" s="7" t="s">
        <v>1009</v>
      </c>
    </row>
    <row r="134" spans="1:3">
      <c r="A134" s="7" t="s">
        <v>281</v>
      </c>
      <c r="B134" s="7" t="s">
        <v>1193</v>
      </c>
      <c r="C134" s="7" t="s">
        <v>1031</v>
      </c>
    </row>
    <row r="135" spans="1:3">
      <c r="A135" s="7" t="s">
        <v>406</v>
      </c>
      <c r="B135" s="7" t="s">
        <v>1196</v>
      </c>
      <c r="C135" s="7" t="s">
        <v>1039</v>
      </c>
    </row>
    <row r="136" spans="1:3">
      <c r="A136" s="7" t="s">
        <v>399</v>
      </c>
      <c r="B136" s="7" t="s">
        <v>1184</v>
      </c>
      <c r="C136" s="7" t="s">
        <v>1035</v>
      </c>
    </row>
    <row r="137" spans="1:3">
      <c r="A137" s="7" t="s">
        <v>397</v>
      </c>
      <c r="B137" s="7" t="s">
        <v>1172</v>
      </c>
      <c r="C137" s="7" t="s">
        <v>1034</v>
      </c>
    </row>
    <row r="138" spans="1:3">
      <c r="A138" s="7" t="s">
        <v>378</v>
      </c>
      <c r="B138" s="7" t="s">
        <v>1181</v>
      </c>
      <c r="C138" s="7" t="s">
        <v>1036</v>
      </c>
    </row>
    <row r="139" spans="1:3">
      <c r="A139" s="7" t="s">
        <v>412</v>
      </c>
      <c r="B139" s="7" t="s">
        <v>1173</v>
      </c>
      <c r="C139" s="7" t="s">
        <v>1025</v>
      </c>
    </row>
    <row r="140" spans="1:3">
      <c r="A140" s="7" t="s">
        <v>386</v>
      </c>
      <c r="B140" s="7" t="s">
        <v>881</v>
      </c>
      <c r="C140" s="7" t="s">
        <v>1010</v>
      </c>
    </row>
    <row r="141" spans="1:3">
      <c r="A141" s="7" t="s">
        <v>398</v>
      </c>
      <c r="B141" s="7" t="s">
        <v>902</v>
      </c>
      <c r="C141" s="7" t="s">
        <v>1032</v>
      </c>
    </row>
    <row r="142" spans="1:3">
      <c r="A142" s="7" t="s">
        <v>395</v>
      </c>
      <c r="B142" s="7" t="s">
        <v>737</v>
      </c>
      <c r="C142" s="7" t="s">
        <v>1023</v>
      </c>
    </row>
    <row r="143" spans="1:3">
      <c r="A143" s="7" t="s">
        <v>392</v>
      </c>
      <c r="B143" s="7" t="s">
        <v>872</v>
      </c>
      <c r="C143" s="7" t="s">
        <v>1008</v>
      </c>
    </row>
    <row r="144" spans="1:3">
      <c r="A144" s="7" t="s">
        <v>391</v>
      </c>
      <c r="B144" s="7" t="s">
        <v>889</v>
      </c>
      <c r="C144" s="7" t="s">
        <v>1012</v>
      </c>
    </row>
    <row r="145" spans="1:3">
      <c r="A145" s="7" t="s">
        <v>389</v>
      </c>
      <c r="B145" s="7" t="s">
        <v>886</v>
      </c>
      <c r="C145" s="7" t="s">
        <v>1011</v>
      </c>
    </row>
    <row r="146" spans="1:3">
      <c r="A146" s="7" t="s">
        <v>274</v>
      </c>
      <c r="B146" s="7" t="s">
        <v>868</v>
      </c>
      <c r="C146" s="7" t="s">
        <v>1018</v>
      </c>
    </row>
    <row r="147" spans="1:3">
      <c r="A147" s="7" t="s">
        <v>410</v>
      </c>
      <c r="B147" s="7" t="s">
        <v>884</v>
      </c>
      <c r="C147" s="7" t="s">
        <v>1027</v>
      </c>
    </row>
    <row r="148" spans="1:3">
      <c r="A148" s="7" t="s">
        <v>409</v>
      </c>
      <c r="B148" s="7" t="s">
        <v>1055</v>
      </c>
      <c r="C148" s="7" t="s">
        <v>1019</v>
      </c>
    </row>
    <row r="149" spans="1:3">
      <c r="A149" s="7" t="s">
        <v>404</v>
      </c>
      <c r="B149" s="7" t="s">
        <v>1059</v>
      </c>
      <c r="C149" s="7" t="s">
        <v>1007</v>
      </c>
    </row>
    <row r="150" spans="1:3">
      <c r="A150" s="7" t="s">
        <v>413</v>
      </c>
      <c r="B150" s="7" t="s">
        <v>1063</v>
      </c>
      <c r="C150" s="7" t="s">
        <v>1037</v>
      </c>
    </row>
    <row r="151" spans="1:3">
      <c r="A151" s="7" t="s">
        <v>381</v>
      </c>
      <c r="B151" s="7" t="s">
        <v>1043</v>
      </c>
      <c r="C151" s="7" t="s">
        <v>1033</v>
      </c>
    </row>
    <row r="152" spans="1:3">
      <c r="A152" s="7" t="s">
        <v>394</v>
      </c>
      <c r="B152" s="7" t="s">
        <v>888</v>
      </c>
      <c r="C152" s="7" t="s">
        <v>1016</v>
      </c>
    </row>
    <row r="153" spans="1:3">
      <c r="A153" s="7" t="s">
        <v>384</v>
      </c>
      <c r="B153" s="7" t="s">
        <v>876</v>
      </c>
      <c r="C153" s="7" t="s">
        <v>1013</v>
      </c>
    </row>
    <row r="154" spans="1:3">
      <c r="A154" s="7" t="s">
        <v>414</v>
      </c>
      <c r="B154" s="7" t="s">
        <v>894</v>
      </c>
      <c r="C154" s="7" t="s">
        <v>1028</v>
      </c>
    </row>
    <row r="155" spans="1:3">
      <c r="A155" s="7" t="s">
        <v>385</v>
      </c>
      <c r="B155" s="7" t="s">
        <v>880</v>
      </c>
      <c r="C155" s="7" t="s">
        <v>1021</v>
      </c>
    </row>
    <row r="156" spans="1:3">
      <c r="A156" s="7" t="s">
        <v>607</v>
      </c>
      <c r="B156" s="7" t="s">
        <v>1056</v>
      </c>
      <c r="C156" s="7" t="s">
        <v>1024</v>
      </c>
    </row>
    <row r="157" spans="1:3">
      <c r="A157" s="7" t="s">
        <v>465</v>
      </c>
      <c r="B157" s="7" t="s">
        <v>1077</v>
      </c>
      <c r="C157" s="7" t="s">
        <v>1040</v>
      </c>
    </row>
    <row r="158" spans="1:3">
      <c r="A158" s="7" t="s">
        <v>460</v>
      </c>
      <c r="B158" s="7" t="s">
        <v>1045</v>
      </c>
      <c r="C158" s="7" t="s">
        <v>1017</v>
      </c>
    </row>
    <row r="159" spans="1:3">
      <c r="A159" s="7" t="s">
        <v>464</v>
      </c>
      <c r="B159" s="7" t="s">
        <v>1066</v>
      </c>
      <c r="C159" s="7" t="s">
        <v>1022</v>
      </c>
    </row>
    <row r="160" spans="1:3">
      <c r="A160" s="7" t="s">
        <v>461</v>
      </c>
      <c r="B160" s="7" t="s">
        <v>899</v>
      </c>
      <c r="C160" s="7" t="s">
        <v>1029</v>
      </c>
    </row>
    <row r="161" spans="1:3">
      <c r="A161" s="7" t="s">
        <v>630</v>
      </c>
      <c r="B161" s="7" t="s">
        <v>900</v>
      </c>
      <c r="C161" s="7" t="s">
        <v>1038</v>
      </c>
    </row>
    <row r="162" spans="1:3">
      <c r="A162" s="7" t="s">
        <v>606</v>
      </c>
      <c r="B162" s="7" t="s">
        <v>896</v>
      </c>
      <c r="C162" s="7" t="s">
        <v>1041</v>
      </c>
    </row>
    <row r="163" spans="1:3">
      <c r="A163" s="7" t="s">
        <v>459</v>
      </c>
      <c r="B163" s="7" t="s">
        <v>901</v>
      </c>
      <c r="C163" s="7" t="s">
        <v>1042</v>
      </c>
    </row>
    <row r="164" spans="1:3">
      <c r="A164" s="7" t="s">
        <v>97</v>
      </c>
      <c r="B164" s="7" t="s">
        <v>898</v>
      </c>
      <c r="C164" s="7" t="s">
        <v>1030</v>
      </c>
    </row>
    <row r="165" spans="1:3">
      <c r="A165" s="7" t="s">
        <v>627</v>
      </c>
      <c r="B165" s="7" t="s">
        <v>891</v>
      </c>
      <c r="C165" s="7" t="s">
        <v>1006</v>
      </c>
    </row>
    <row r="166" spans="1:3">
      <c r="A166" s="7" t="s">
        <v>619</v>
      </c>
      <c r="B166" s="7" t="s">
        <v>887</v>
      </c>
      <c r="C166" s="7" t="s">
        <v>1020</v>
      </c>
    </row>
    <row r="167" spans="1:3">
      <c r="A167" s="7" t="s">
        <v>598</v>
      </c>
      <c r="B167" s="7" t="s">
        <v>1204</v>
      </c>
      <c r="C167" s="7" t="s">
        <v>284</v>
      </c>
    </row>
    <row r="168" spans="1:3">
      <c r="A168" s="7" t="s">
        <v>610</v>
      </c>
      <c r="B168" s="7" t="s">
        <v>1197</v>
      </c>
      <c r="C168" s="7" t="s">
        <v>327</v>
      </c>
    </row>
    <row r="169" spans="1:3">
      <c r="A169" s="7" t="s">
        <v>617</v>
      </c>
      <c r="B169" s="7" t="s">
        <v>1186</v>
      </c>
      <c r="C169" s="7" t="s">
        <v>285</v>
      </c>
    </row>
    <row r="170" spans="1:3">
      <c r="A170" s="7" t="s">
        <v>615</v>
      </c>
      <c r="B170" s="7" t="s">
        <v>1075</v>
      </c>
      <c r="C170" s="7" t="s">
        <v>331</v>
      </c>
    </row>
    <row r="171" spans="1:3">
      <c r="A171" s="7" t="s">
        <v>626</v>
      </c>
      <c r="B171" s="7" t="s">
        <v>1169</v>
      </c>
      <c r="C171" s="7" t="s">
        <v>288</v>
      </c>
    </row>
    <row r="172" spans="1:3">
      <c r="A172" s="7" t="s">
        <v>623</v>
      </c>
      <c r="B172" s="7" t="s">
        <v>893</v>
      </c>
      <c r="C172" s="7" t="s">
        <v>287</v>
      </c>
    </row>
    <row r="173" spans="1:3">
      <c r="A173" s="7" t="s">
        <v>628</v>
      </c>
      <c r="B173" s="7" t="s">
        <v>979</v>
      </c>
      <c r="C173" s="7" t="s">
        <v>333</v>
      </c>
    </row>
    <row r="174" spans="1:3">
      <c r="A174" s="7" t="s">
        <v>1109</v>
      </c>
      <c r="B174" s="7" t="s">
        <v>1174</v>
      </c>
      <c r="C174" s="7" t="s">
        <v>302</v>
      </c>
    </row>
    <row r="175" spans="1:3">
      <c r="A175" s="7" t="s">
        <v>1219</v>
      </c>
      <c r="B175" s="7" t="s">
        <v>1178</v>
      </c>
      <c r="C175" s="7" t="s">
        <v>301</v>
      </c>
    </row>
    <row r="176" spans="1:3">
      <c r="A176" s="7" t="s">
        <v>1236</v>
      </c>
      <c r="B176" s="7" t="s">
        <v>1201</v>
      </c>
      <c r="C176" s="7" t="s">
        <v>338</v>
      </c>
    </row>
    <row r="177" spans="1:3">
      <c r="A177" s="7" t="s">
        <v>1220</v>
      </c>
      <c r="B177" s="7" t="s">
        <v>1180</v>
      </c>
      <c r="C177" s="7" t="s">
        <v>293</v>
      </c>
    </row>
    <row r="178" spans="1:3">
      <c r="A178" s="7" t="s">
        <v>1225</v>
      </c>
      <c r="B178" s="7" t="s">
        <v>1182</v>
      </c>
      <c r="C178" s="7" t="s">
        <v>295</v>
      </c>
    </row>
    <row r="179" spans="1:3">
      <c r="A179" s="7" t="s">
        <v>1232</v>
      </c>
      <c r="B179" s="7" t="s">
        <v>897</v>
      </c>
      <c r="C179" s="7" t="s">
        <v>289</v>
      </c>
    </row>
    <row r="180" spans="1:3">
      <c r="A180" s="7" t="s">
        <v>1224</v>
      </c>
      <c r="B180" s="7" t="s">
        <v>885</v>
      </c>
      <c r="C180" s="7" t="s">
        <v>290</v>
      </c>
    </row>
    <row r="181" spans="1:3">
      <c r="A181" s="7" t="s">
        <v>1092</v>
      </c>
      <c r="B181" s="7" t="s">
        <v>877</v>
      </c>
      <c r="C181" s="7" t="s">
        <v>299</v>
      </c>
    </row>
    <row r="182" spans="1:3">
      <c r="A182" s="7" t="s">
        <v>1095</v>
      </c>
      <c r="B182" s="7" t="s">
        <v>4</v>
      </c>
      <c r="C182" s="7" t="s">
        <v>324</v>
      </c>
    </row>
    <row r="183" spans="1:3">
      <c r="A183" s="7" t="s">
        <v>1214</v>
      </c>
      <c r="B183" s="7" t="s">
        <v>1117</v>
      </c>
      <c r="C183" s="7" t="s">
        <v>300</v>
      </c>
    </row>
    <row r="184" spans="1:3">
      <c r="A184" s="7" t="s">
        <v>1213</v>
      </c>
      <c r="B184" s="7" t="s">
        <v>1187</v>
      </c>
      <c r="C184" s="7" t="s">
        <v>294</v>
      </c>
    </row>
    <row r="185" spans="1:3">
      <c r="A185" s="7" t="s">
        <v>1212</v>
      </c>
      <c r="B185" s="7" t="s">
        <v>1200</v>
      </c>
      <c r="C185" s="7" t="s">
        <v>337</v>
      </c>
    </row>
    <row r="186" spans="1:3">
      <c r="A186" s="7" t="s">
        <v>1085</v>
      </c>
      <c r="B186" s="7" t="s">
        <v>1192</v>
      </c>
      <c r="C186" s="7" t="s">
        <v>340</v>
      </c>
    </row>
    <row r="187" spans="1:3">
      <c r="A187" s="7" t="s">
        <v>1087</v>
      </c>
      <c r="B187" s="7" t="s">
        <v>1194</v>
      </c>
      <c r="C187" s="7" t="s">
        <v>329</v>
      </c>
    </row>
    <row r="188" spans="1:3">
      <c r="A188" s="7" t="s">
        <v>1094</v>
      </c>
      <c r="B188" s="7" t="s">
        <v>1205</v>
      </c>
      <c r="C188" s="7" t="s">
        <v>332</v>
      </c>
    </row>
    <row r="189" spans="1:3">
      <c r="A189" s="7" t="s">
        <v>1091</v>
      </c>
      <c r="B189" s="7" t="s">
        <v>1175</v>
      </c>
      <c r="C189" s="7" t="s">
        <v>328</v>
      </c>
    </row>
    <row r="190" spans="1:3">
      <c r="A190" s="7" t="s">
        <v>1090</v>
      </c>
      <c r="B190" s="7" t="s">
        <v>1195</v>
      </c>
      <c r="C190" s="7" t="s">
        <v>303</v>
      </c>
    </row>
    <row r="191" spans="1:3">
      <c r="A191" s="7" t="s">
        <v>1081</v>
      </c>
      <c r="B191" s="7" t="s">
        <v>1179</v>
      </c>
      <c r="C191" s="7" t="s">
        <v>325</v>
      </c>
    </row>
    <row r="192" spans="1:3">
      <c r="A192" s="7" t="s">
        <v>1089</v>
      </c>
      <c r="B192" s="7" t="s">
        <v>1199</v>
      </c>
      <c r="C192" s="7" t="s">
        <v>291</v>
      </c>
    </row>
    <row r="193" spans="1:3">
      <c r="A193" s="7" t="s">
        <v>1082</v>
      </c>
      <c r="B193" s="7" t="s">
        <v>1188</v>
      </c>
      <c r="C193" s="7" t="s">
        <v>297</v>
      </c>
    </row>
    <row r="194" spans="1:3">
      <c r="A194" s="7" t="s">
        <v>1088</v>
      </c>
      <c r="B194" s="7" t="s">
        <v>1189</v>
      </c>
      <c r="C194" s="7" t="s">
        <v>330</v>
      </c>
    </row>
    <row r="195" spans="1:3">
      <c r="A195" s="7" t="s">
        <v>1080</v>
      </c>
      <c r="B195" s="7" t="s">
        <v>1185</v>
      </c>
      <c r="C195" s="7" t="s">
        <v>336</v>
      </c>
    </row>
    <row r="196" spans="1:3">
      <c r="A196" s="7" t="s">
        <v>1086</v>
      </c>
      <c r="B196" s="7" t="s">
        <v>1171</v>
      </c>
      <c r="C196" s="7" t="s">
        <v>339</v>
      </c>
    </row>
    <row r="197" spans="1:3">
      <c r="A197" s="7" t="s">
        <v>1083</v>
      </c>
      <c r="B197" s="7" t="s">
        <v>1191</v>
      </c>
      <c r="C197" s="7" t="s">
        <v>286</v>
      </c>
    </row>
    <row r="198" spans="1:3">
      <c r="A198" s="7" t="s">
        <v>1084</v>
      </c>
      <c r="B198" s="7" t="s">
        <v>1202</v>
      </c>
      <c r="C198" s="7" t="s">
        <v>292</v>
      </c>
    </row>
    <row r="199" spans="1:3">
      <c r="A199" s="7" t="s">
        <v>1230</v>
      </c>
      <c r="B199" s="7" t="s">
        <v>1190</v>
      </c>
      <c r="C199" s="7" t="s">
        <v>298</v>
      </c>
    </row>
    <row r="200" spans="1:3">
      <c r="A200" s="7" t="s">
        <v>1113</v>
      </c>
      <c r="B200" s="7" t="s">
        <v>1198</v>
      </c>
      <c r="C200" s="7" t="s">
        <v>326</v>
      </c>
    </row>
    <row r="201" spans="1:3">
      <c r="A201" s="7" t="s">
        <v>1112</v>
      </c>
      <c r="B201" s="7" t="s">
        <v>1203</v>
      </c>
      <c r="C201" s="7" t="s">
        <v>296</v>
      </c>
    </row>
    <row r="202" spans="1:3">
      <c r="A202" s="7" t="s">
        <v>1101</v>
      </c>
      <c r="B202" s="7" t="s">
        <v>1170</v>
      </c>
      <c r="C202" s="7" t="s">
        <v>335</v>
      </c>
    </row>
    <row r="203" spans="1:3">
      <c r="A203" s="7" t="s">
        <v>1107</v>
      </c>
      <c r="B203" s="7" t="s">
        <v>572</v>
      </c>
      <c r="C203" s="7" t="s">
        <v>334</v>
      </c>
    </row>
    <row r="204" spans="1:3">
      <c r="A204" s="7" t="s">
        <v>1102</v>
      </c>
      <c r="B204" s="7" t="s">
        <v>578</v>
      </c>
      <c r="C204" s="7" t="s">
        <v>322</v>
      </c>
    </row>
    <row r="205" spans="1:3">
      <c r="A205" s="7" t="s">
        <v>1242</v>
      </c>
      <c r="B205" s="7" t="s">
        <v>450</v>
      </c>
      <c r="C205" s="7" t="s">
        <v>310</v>
      </c>
    </row>
    <row r="206" spans="1:3">
      <c r="A206" s="7" t="s">
        <v>1115</v>
      </c>
      <c r="B206" s="7" t="s">
        <v>449</v>
      </c>
      <c r="C206" s="7" t="s">
        <v>305</v>
      </c>
    </row>
    <row r="207" spans="1:3">
      <c r="A207" s="7" t="s">
        <v>1211</v>
      </c>
      <c r="B207" s="7" t="s">
        <v>5</v>
      </c>
      <c r="C207" s="7" t="s">
        <v>308</v>
      </c>
    </row>
    <row r="208" spans="1:3">
      <c r="A208" s="7" t="s">
        <v>1210</v>
      </c>
      <c r="B208" s="7" t="s">
        <v>567</v>
      </c>
      <c r="C208" s="7" t="s">
        <v>430</v>
      </c>
    </row>
    <row r="209" spans="1:3">
      <c r="A209" s="7" t="s">
        <v>1099</v>
      </c>
      <c r="B209" s="7" t="s">
        <v>579</v>
      </c>
      <c r="C209" s="7" t="s">
        <v>312</v>
      </c>
    </row>
    <row r="210" spans="1:3">
      <c r="A210" s="7" t="s">
        <v>1111</v>
      </c>
      <c r="B210" s="7" t="s">
        <v>560</v>
      </c>
      <c r="C210" s="7" t="s">
        <v>320</v>
      </c>
    </row>
    <row r="211" spans="1:3">
      <c r="A211" s="7" t="s">
        <v>1218</v>
      </c>
      <c r="B211" s="7" t="s">
        <v>588</v>
      </c>
      <c r="C211" s="7" t="s">
        <v>415</v>
      </c>
    </row>
    <row r="212" spans="1:3">
      <c r="A212" s="7" t="s">
        <v>1238</v>
      </c>
      <c r="B212" s="7" t="s">
        <v>561</v>
      </c>
      <c r="C212" s="7" t="s">
        <v>323</v>
      </c>
    </row>
    <row r="213" spans="1:3">
      <c r="A213" s="7" t="s">
        <v>1097</v>
      </c>
      <c r="B213" s="7" t="s">
        <v>1119</v>
      </c>
      <c r="C213" s="7" t="s">
        <v>416</v>
      </c>
    </row>
    <row r="214" spans="1:3">
      <c r="A214" s="7" t="s">
        <v>1237</v>
      </c>
      <c r="B214" s="7" t="s">
        <v>849</v>
      </c>
      <c r="C214" s="7" t="s">
        <v>428</v>
      </c>
    </row>
    <row r="215" spans="1:3">
      <c r="A215" s="7" t="s">
        <v>1096</v>
      </c>
      <c r="B215" s="7" t="s">
        <v>840</v>
      </c>
      <c r="C215" s="7" t="s">
        <v>424</v>
      </c>
    </row>
    <row r="216" spans="1:3">
      <c r="A216" s="7" t="s">
        <v>1093</v>
      </c>
      <c r="B216" s="7" t="s">
        <v>844</v>
      </c>
      <c r="C216" s="7" t="s">
        <v>429</v>
      </c>
    </row>
    <row r="217" spans="1:3">
      <c r="A217" s="7" t="s">
        <v>1231</v>
      </c>
      <c r="B217" s="7" t="s">
        <v>839</v>
      </c>
      <c r="C217" s="7" t="s">
        <v>425</v>
      </c>
    </row>
    <row r="218" spans="1:3">
      <c r="A218" s="7" t="s">
        <v>1105</v>
      </c>
      <c r="B218" s="7" t="s">
        <v>829</v>
      </c>
      <c r="C218" s="7" t="s">
        <v>420</v>
      </c>
    </row>
    <row r="219" spans="1:3">
      <c r="A219" s="7" t="s">
        <v>1114</v>
      </c>
      <c r="B219" s="7" t="s">
        <v>834</v>
      </c>
      <c r="C219" s="7" t="s">
        <v>321</v>
      </c>
    </row>
    <row r="220" spans="1:3">
      <c r="A220" s="7" t="s">
        <v>1098</v>
      </c>
      <c r="B220" s="7" t="s">
        <v>537</v>
      </c>
      <c r="C220" s="7" t="s">
        <v>423</v>
      </c>
    </row>
    <row r="221" spans="1:3">
      <c r="A221" s="7" t="s">
        <v>1104</v>
      </c>
      <c r="B221" s="7" t="s">
        <v>824</v>
      </c>
      <c r="C221" s="7" t="s">
        <v>316</v>
      </c>
    </row>
    <row r="222" spans="1:3">
      <c r="A222" s="7" t="s">
        <v>1103</v>
      </c>
      <c r="B222" s="7" t="s">
        <v>514</v>
      </c>
      <c r="C222" s="7" t="s">
        <v>307</v>
      </c>
    </row>
    <row r="223" spans="1:3">
      <c r="A223" s="7" t="s">
        <v>1116</v>
      </c>
      <c r="B223" s="7" t="s">
        <v>535</v>
      </c>
      <c r="C223" s="7" t="s">
        <v>431</v>
      </c>
    </row>
    <row r="224" spans="1:3">
      <c r="A224" s="7" t="s">
        <v>1100</v>
      </c>
      <c r="B224" s="7" t="s">
        <v>515</v>
      </c>
      <c r="C224" s="7" t="s">
        <v>417</v>
      </c>
    </row>
    <row r="225" spans="1:3">
      <c r="A225" s="7" t="s">
        <v>1106</v>
      </c>
      <c r="B225" s="7" t="s">
        <v>511</v>
      </c>
      <c r="C225" s="7" t="s">
        <v>418</v>
      </c>
    </row>
    <row r="226" spans="1:3">
      <c r="A226" s="7" t="s">
        <v>1108</v>
      </c>
      <c r="B226" s="7" t="s">
        <v>522</v>
      </c>
      <c r="C226" s="7" t="s">
        <v>421</v>
      </c>
    </row>
    <row r="227" spans="1:3">
      <c r="A227" s="7" t="s">
        <v>1110</v>
      </c>
      <c r="B227" s="7" t="s">
        <v>523</v>
      </c>
      <c r="C227" s="7" t="s">
        <v>422</v>
      </c>
    </row>
    <row r="228" spans="1:3">
      <c r="A228" s="7" t="s">
        <v>1239</v>
      </c>
      <c r="B228" s="7" t="s">
        <v>531</v>
      </c>
      <c r="C228" s="7" t="s">
        <v>419</v>
      </c>
    </row>
    <row r="229" spans="1:3">
      <c r="A229" s="7" t="s">
        <v>941</v>
      </c>
      <c r="B229" s="7" t="s">
        <v>526</v>
      </c>
      <c r="C229" s="7" t="s">
        <v>314</v>
      </c>
    </row>
    <row r="230" spans="1:3">
      <c r="A230" s="7" t="s">
        <v>1217</v>
      </c>
      <c r="B230" s="7" t="s">
        <v>517</v>
      </c>
      <c r="C230" s="7" t="s">
        <v>315</v>
      </c>
    </row>
    <row r="231" spans="1:3">
      <c r="A231" s="7" t="s">
        <v>1234</v>
      </c>
      <c r="B231" s="7" t="s">
        <v>528</v>
      </c>
      <c r="C231" s="7" t="s">
        <v>427</v>
      </c>
    </row>
    <row r="232" spans="1:3">
      <c r="A232" s="7" t="s">
        <v>1233</v>
      </c>
      <c r="B232" s="7" t="s">
        <v>518</v>
      </c>
      <c r="C232" s="7" t="s">
        <v>319</v>
      </c>
    </row>
    <row r="233" spans="1:3">
      <c r="A233" s="7" t="s">
        <v>1216</v>
      </c>
      <c r="B233" s="7" t="s">
        <v>833</v>
      </c>
      <c r="C233" s="7" t="s">
        <v>426</v>
      </c>
    </row>
    <row r="234" spans="1:3">
      <c r="A234" s="7" t="s">
        <v>1227</v>
      </c>
      <c r="B234" s="7" t="s">
        <v>848</v>
      </c>
      <c r="C234" s="7" t="s">
        <v>313</v>
      </c>
    </row>
    <row r="235" spans="1:3">
      <c r="A235" s="7" t="s">
        <v>1229</v>
      </c>
      <c r="B235" s="7" t="s">
        <v>534</v>
      </c>
      <c r="C235" s="7" t="s">
        <v>309</v>
      </c>
    </row>
    <row r="236" spans="1:3">
      <c r="A236" s="7" t="s">
        <v>1240</v>
      </c>
      <c r="B236" s="7" t="s">
        <v>847</v>
      </c>
      <c r="C236" s="7" t="s">
        <v>311</v>
      </c>
    </row>
    <row r="237" spans="1:3">
      <c r="A237" s="7" t="s">
        <v>1206</v>
      </c>
      <c r="B237" s="7" t="s">
        <v>853</v>
      </c>
      <c r="C237" s="7" t="s">
        <v>318</v>
      </c>
    </row>
    <row r="238" spans="1:3">
      <c r="A238" s="7" t="s">
        <v>1222</v>
      </c>
      <c r="B238" s="7" t="s">
        <v>831</v>
      </c>
      <c r="C238" s="7" t="s">
        <v>304</v>
      </c>
    </row>
    <row r="239" spans="1:3">
      <c r="A239" s="7" t="s">
        <v>1207</v>
      </c>
      <c r="B239" s="7" t="s">
        <v>538</v>
      </c>
      <c r="C239" s="7" t="s">
        <v>306</v>
      </c>
    </row>
    <row r="240" spans="1:3">
      <c r="A240" s="7" t="s">
        <v>1226</v>
      </c>
      <c r="B240" s="7" t="s">
        <v>536</v>
      </c>
      <c r="C240" s="7" t="s">
        <v>317</v>
      </c>
    </row>
    <row r="241" spans="1:3">
      <c r="A241" s="7" t="s">
        <v>1228</v>
      </c>
      <c r="B241" s="7" t="s">
        <v>524</v>
      </c>
      <c r="C241" s="7" t="s">
        <v>58</v>
      </c>
    </row>
    <row r="242" spans="1:3">
      <c r="A242" s="7" t="s">
        <v>1223</v>
      </c>
      <c r="B242" s="7" t="s">
        <v>525</v>
      </c>
      <c r="C242" s="7" t="s">
        <v>54</v>
      </c>
    </row>
    <row r="243" spans="1:3">
      <c r="A243" s="7" t="s">
        <v>1221</v>
      </c>
      <c r="B243" s="7" t="s">
        <v>516</v>
      </c>
      <c r="C243" s="7" t="s">
        <v>48</v>
      </c>
    </row>
    <row r="244" spans="1:3">
      <c r="A244" s="7" t="s">
        <v>1215</v>
      </c>
      <c r="B244" s="7" t="s">
        <v>532</v>
      </c>
      <c r="C244" s="7" t="s">
        <v>37</v>
      </c>
    </row>
    <row r="245" spans="1:3">
      <c r="A245" s="7" t="s">
        <v>253</v>
      </c>
      <c r="B245" s="7" t="s">
        <v>512</v>
      </c>
      <c r="C245" s="7" t="s">
        <v>25</v>
      </c>
    </row>
    <row r="246" spans="1:3">
      <c r="A246" s="7" t="s">
        <v>258</v>
      </c>
      <c r="B246" s="7" t="s">
        <v>533</v>
      </c>
      <c r="C246" s="7" t="s">
        <v>42</v>
      </c>
    </row>
    <row r="247" spans="1:3">
      <c r="A247" s="7" t="s">
        <v>259</v>
      </c>
      <c r="B247" s="7" t="s">
        <v>521</v>
      </c>
      <c r="C247" s="7" t="s">
        <v>52</v>
      </c>
    </row>
    <row r="248" spans="1:3">
      <c r="A248" s="7" t="s">
        <v>257</v>
      </c>
      <c r="B248" s="7" t="s">
        <v>513</v>
      </c>
      <c r="C248" s="7" t="s">
        <v>47</v>
      </c>
    </row>
    <row r="249" spans="1:3">
      <c r="A249" s="7" t="s">
        <v>279</v>
      </c>
      <c r="B249" s="7" t="s">
        <v>519</v>
      </c>
      <c r="C249" s="7" t="s">
        <v>26</v>
      </c>
    </row>
    <row r="250" spans="1:3">
      <c r="A250" s="7" t="s">
        <v>255</v>
      </c>
      <c r="B250" s="7" t="s">
        <v>510</v>
      </c>
      <c r="C250" s="7" t="s">
        <v>40</v>
      </c>
    </row>
    <row r="251" spans="1:3">
      <c r="A251" s="7" t="s">
        <v>256</v>
      </c>
      <c r="B251" s="7" t="s">
        <v>529</v>
      </c>
      <c r="C251" s="7" t="s">
        <v>31</v>
      </c>
    </row>
    <row r="252" spans="1:3">
      <c r="A252" s="7" t="s">
        <v>8</v>
      </c>
      <c r="B252" s="7" t="s">
        <v>509</v>
      </c>
      <c r="C252" s="7" t="s">
        <v>28</v>
      </c>
    </row>
    <row r="253" spans="1:3">
      <c r="A253" s="7" t="s">
        <v>264</v>
      </c>
      <c r="B253" s="7" t="s">
        <v>527</v>
      </c>
      <c r="C253" s="7" t="s">
        <v>57</v>
      </c>
    </row>
    <row r="254" spans="1:3">
      <c r="A254" s="7" t="s">
        <v>263</v>
      </c>
      <c r="B254" s="7" t="s">
        <v>530</v>
      </c>
      <c r="C254" s="7" t="s">
        <v>59</v>
      </c>
    </row>
    <row r="255" spans="1:3">
      <c r="A255" s="7" t="s">
        <v>262</v>
      </c>
      <c r="B255" s="7" t="s">
        <v>520</v>
      </c>
      <c r="C255" s="7" t="s">
        <v>45</v>
      </c>
    </row>
    <row r="256" spans="1:3">
      <c r="A256" s="7" t="s">
        <v>252</v>
      </c>
      <c r="B256" s="7" t="s">
        <v>836</v>
      </c>
      <c r="C256" s="7" t="s">
        <v>44</v>
      </c>
    </row>
    <row r="257" spans="1:3">
      <c r="A257" s="7" t="s">
        <v>251</v>
      </c>
      <c r="B257" s="7" t="s">
        <v>845</v>
      </c>
      <c r="C257" s="7" t="s">
        <v>46</v>
      </c>
    </row>
    <row r="258" spans="1:3">
      <c r="A258" s="7" t="s">
        <v>265</v>
      </c>
      <c r="B258" s="7" t="s">
        <v>841</v>
      </c>
      <c r="C258" s="7" t="s">
        <v>29</v>
      </c>
    </row>
    <row r="259" spans="1:3">
      <c r="A259" s="7" t="s">
        <v>260</v>
      </c>
      <c r="B259" s="7" t="s">
        <v>825</v>
      </c>
      <c r="C259" s="7" t="s">
        <v>38</v>
      </c>
    </row>
    <row r="260" spans="1:3">
      <c r="A260" s="7" t="s">
        <v>276</v>
      </c>
      <c r="B260" s="7" t="s">
        <v>835</v>
      </c>
      <c r="C260" s="7" t="s">
        <v>51</v>
      </c>
    </row>
    <row r="261" spans="1:3">
      <c r="A261" s="7" t="s">
        <v>270</v>
      </c>
      <c r="B261" s="7" t="s">
        <v>837</v>
      </c>
      <c r="C261" s="7" t="s">
        <v>49</v>
      </c>
    </row>
    <row r="262" spans="1:3">
      <c r="A262" s="7" t="s">
        <v>271</v>
      </c>
      <c r="B262" s="7" t="s">
        <v>826</v>
      </c>
      <c r="C262" s="7" t="s">
        <v>53</v>
      </c>
    </row>
    <row r="263" spans="1:3">
      <c r="A263" s="7" t="s">
        <v>247</v>
      </c>
      <c r="B263" s="7" t="s">
        <v>832</v>
      </c>
      <c r="C263" s="7" t="s">
        <v>50</v>
      </c>
    </row>
    <row r="264" spans="1:3">
      <c r="A264" s="7" t="s">
        <v>277</v>
      </c>
      <c r="B264" s="7" t="s">
        <v>838</v>
      </c>
      <c r="C264" s="7" t="s">
        <v>30</v>
      </c>
    </row>
    <row r="265" spans="1:3">
      <c r="A265" s="7" t="s">
        <v>1118</v>
      </c>
      <c r="B265" s="7" t="s">
        <v>846</v>
      </c>
      <c r="C265" s="7" t="s">
        <v>60</v>
      </c>
    </row>
    <row r="266" spans="1:3">
      <c r="A266" s="7" t="s">
        <v>915</v>
      </c>
      <c r="B266" s="7" t="s">
        <v>850</v>
      </c>
      <c r="C266" s="7" t="s">
        <v>43</v>
      </c>
    </row>
    <row r="267" spans="1:3">
      <c r="A267" s="7" t="s">
        <v>909</v>
      </c>
      <c r="B267" s="7" t="s">
        <v>851</v>
      </c>
      <c r="C267" s="7" t="s">
        <v>24</v>
      </c>
    </row>
    <row r="268" spans="1:3">
      <c r="A268" s="7" t="s">
        <v>936</v>
      </c>
      <c r="B268" s="7" t="s">
        <v>830</v>
      </c>
      <c r="C268" s="7" t="s">
        <v>33</v>
      </c>
    </row>
    <row r="269" spans="1:3">
      <c r="A269" s="7" t="s">
        <v>921</v>
      </c>
      <c r="B269" s="7" t="s">
        <v>827</v>
      </c>
      <c r="C269" s="7" t="s">
        <v>36</v>
      </c>
    </row>
    <row r="270" spans="1:3">
      <c r="A270" s="7" t="s">
        <v>1241</v>
      </c>
      <c r="B270" s="7" t="s">
        <v>842</v>
      </c>
      <c r="C270" s="7" t="s">
        <v>56</v>
      </c>
    </row>
    <row r="271" spans="1:3">
      <c r="A271" s="7" t="s">
        <v>908</v>
      </c>
      <c r="B271" s="7" t="s">
        <v>852</v>
      </c>
      <c r="C271" s="7" t="s">
        <v>39</v>
      </c>
    </row>
    <row r="272" spans="1:3">
      <c r="A272" s="7" t="s">
        <v>1208</v>
      </c>
      <c r="B272" s="7" t="s">
        <v>843</v>
      </c>
      <c r="C272" s="7" t="s">
        <v>55</v>
      </c>
    </row>
    <row r="273" spans="1:3">
      <c r="A273" s="7" t="s">
        <v>1235</v>
      </c>
      <c r="B273" s="7" t="s">
        <v>828</v>
      </c>
      <c r="C273" s="7" t="s">
        <v>34</v>
      </c>
    </row>
    <row r="274" spans="1:3">
      <c r="A274" s="7" t="s">
        <v>927</v>
      </c>
      <c r="B274" s="7" t="s">
        <v>768</v>
      </c>
      <c r="C274" s="7" t="s">
        <v>32</v>
      </c>
    </row>
    <row r="275" spans="1:3">
      <c r="A275" s="7" t="s">
        <v>932</v>
      </c>
      <c r="B275" s="7" t="s">
        <v>770</v>
      </c>
      <c r="C275" s="7" t="s">
        <v>27</v>
      </c>
    </row>
    <row r="276" spans="1:3">
      <c r="A276" s="7" t="s">
        <v>1209</v>
      </c>
      <c r="B276" s="7" t="s">
        <v>771</v>
      </c>
      <c r="C276" s="7" t="s">
        <v>41</v>
      </c>
    </row>
    <row r="277" spans="1:3">
      <c r="A277" s="7" t="s">
        <v>734</v>
      </c>
      <c r="B277" s="7" t="s">
        <v>766</v>
      </c>
      <c r="C277" s="7" t="s">
        <v>35</v>
      </c>
    </row>
    <row r="278" spans="1:3">
      <c r="A278" s="7" t="s">
        <v>745</v>
      </c>
      <c r="B278" s="7" t="s">
        <v>769</v>
      </c>
      <c r="C278" s="7" t="s">
        <v>1154</v>
      </c>
    </row>
    <row r="279" spans="1:3">
      <c r="A279" s="7" t="s">
        <v>744</v>
      </c>
      <c r="B279" s="7" t="s">
        <v>1130</v>
      </c>
      <c r="C279" s="7" t="s">
        <v>1163</v>
      </c>
    </row>
    <row r="280" spans="1:3">
      <c r="A280" s="7" t="s">
        <v>733</v>
      </c>
      <c r="B280" s="7" t="s">
        <v>772</v>
      </c>
      <c r="C280" s="7" t="s">
        <v>1162</v>
      </c>
    </row>
    <row r="281" spans="1:3">
      <c r="A281" s="7" t="s">
        <v>749</v>
      </c>
      <c r="B281" s="7" t="s">
        <v>767</v>
      </c>
      <c r="C281" s="7" t="s">
        <v>1166</v>
      </c>
    </row>
    <row r="282" spans="1:3">
      <c r="A282" s="7" t="s">
        <v>748</v>
      </c>
      <c r="B282" s="7" t="s">
        <v>1129</v>
      </c>
      <c r="C282" s="7" t="s">
        <v>1157</v>
      </c>
    </row>
    <row r="283" spans="1:3">
      <c r="A283" s="7" t="s">
        <v>729</v>
      </c>
      <c r="B283" s="7" t="s">
        <v>1131</v>
      </c>
      <c r="C283" s="7" t="s">
        <v>1146</v>
      </c>
    </row>
    <row r="284" spans="1:3">
      <c r="A284" s="7" t="s">
        <v>730</v>
      </c>
      <c r="B284" s="7" t="s">
        <v>152</v>
      </c>
      <c r="C284" s="7" t="s">
        <v>1158</v>
      </c>
    </row>
    <row r="285" spans="1:3">
      <c r="A285" s="7" t="s">
        <v>990</v>
      </c>
      <c r="B285" s="7" t="s">
        <v>169</v>
      </c>
      <c r="C285" s="7" t="s">
        <v>1136</v>
      </c>
    </row>
    <row r="286" spans="1:3">
      <c r="A286" s="7" t="s">
        <v>982</v>
      </c>
      <c r="B286" s="7" t="s">
        <v>174</v>
      </c>
      <c r="C286" s="7" t="s">
        <v>1134</v>
      </c>
    </row>
    <row r="287" spans="1:3">
      <c r="A287" s="7" t="s">
        <v>983</v>
      </c>
      <c r="B287" s="7" t="s">
        <v>859</v>
      </c>
      <c r="C287" s="7" t="s">
        <v>1151</v>
      </c>
    </row>
    <row r="288" spans="1:3">
      <c r="A288" s="7" t="s">
        <v>3</v>
      </c>
      <c r="B288" s="7" t="s">
        <v>858</v>
      </c>
      <c r="C288" s="7" t="s">
        <v>1133</v>
      </c>
    </row>
    <row r="289" spans="1:3">
      <c r="A289" s="7" t="s">
        <v>435</v>
      </c>
      <c r="B289" s="7" t="s">
        <v>179</v>
      </c>
      <c r="C289" s="7" t="s">
        <v>1135</v>
      </c>
    </row>
    <row r="290" spans="1:3">
      <c r="A290" s="7" t="s">
        <v>436</v>
      </c>
      <c r="B290" s="7" t="s">
        <v>860</v>
      </c>
      <c r="C290" s="7" t="s">
        <v>1149</v>
      </c>
    </row>
    <row r="291" spans="1:3">
      <c r="A291" s="7" t="s">
        <v>995</v>
      </c>
      <c r="B291" s="7" t="s">
        <v>154</v>
      </c>
      <c r="C291" s="7" t="s">
        <v>1150</v>
      </c>
    </row>
    <row r="292" spans="1:3">
      <c r="A292" s="7" t="s">
        <v>984</v>
      </c>
      <c r="B292" s="7" t="s">
        <v>153</v>
      </c>
      <c r="C292" s="7" t="s">
        <v>1168</v>
      </c>
    </row>
    <row r="293" spans="1:3">
      <c r="A293" s="7" t="s">
        <v>445</v>
      </c>
      <c r="B293" s="7" t="s">
        <v>159</v>
      </c>
      <c r="C293" s="7" t="s">
        <v>1139</v>
      </c>
    </row>
    <row r="294" spans="1:3">
      <c r="A294" s="7" t="s">
        <v>993</v>
      </c>
      <c r="B294" s="7" t="s">
        <v>170</v>
      </c>
      <c r="C294" s="7" t="s">
        <v>1137</v>
      </c>
    </row>
    <row r="295" spans="1:3">
      <c r="A295" s="7" t="s">
        <v>992</v>
      </c>
      <c r="B295" s="7" t="s">
        <v>164</v>
      </c>
      <c r="C295" s="7" t="s">
        <v>1159</v>
      </c>
    </row>
    <row r="296" spans="1:3">
      <c r="A296" s="7" t="s">
        <v>991</v>
      </c>
      <c r="B296" s="7" t="s">
        <v>156</v>
      </c>
      <c r="C296" s="7" t="s">
        <v>1164</v>
      </c>
    </row>
    <row r="297" spans="1:3">
      <c r="A297" s="7" t="s">
        <v>456</v>
      </c>
      <c r="B297" s="7" t="s">
        <v>166</v>
      </c>
      <c r="C297" s="7" t="s">
        <v>1140</v>
      </c>
    </row>
    <row r="298" spans="1:3">
      <c r="A298" s="7" t="s">
        <v>1121</v>
      </c>
      <c r="B298" s="7" t="s">
        <v>171</v>
      </c>
      <c r="C298" s="7" t="s">
        <v>1148</v>
      </c>
    </row>
    <row r="299" spans="1:3">
      <c r="A299" s="7" t="s">
        <v>17</v>
      </c>
      <c r="B299" s="7" t="s">
        <v>182</v>
      </c>
      <c r="C299" s="7" t="s">
        <v>1138</v>
      </c>
    </row>
    <row r="300" spans="1:3">
      <c r="A300" s="7" t="s">
        <v>205</v>
      </c>
      <c r="B300" s="7" t="s">
        <v>162</v>
      </c>
      <c r="C300" s="7" t="s">
        <v>1167</v>
      </c>
    </row>
    <row r="301" spans="1:3">
      <c r="A301" s="7" t="s">
        <v>787</v>
      </c>
      <c r="B301" s="7" t="s">
        <v>157</v>
      </c>
      <c r="C301" s="7" t="s">
        <v>1141</v>
      </c>
    </row>
    <row r="302" spans="1:3">
      <c r="A302" s="7" t="s">
        <v>785</v>
      </c>
      <c r="B302" s="7" t="s">
        <v>151</v>
      </c>
      <c r="C302" s="7" t="s">
        <v>1142</v>
      </c>
    </row>
    <row r="303" spans="1:3">
      <c r="A303" s="7" t="s">
        <v>786</v>
      </c>
      <c r="B303" s="7" t="s">
        <v>161</v>
      </c>
      <c r="C303" s="7" t="s">
        <v>1132</v>
      </c>
    </row>
    <row r="304" spans="1:3">
      <c r="A304" s="7" t="s">
        <v>781</v>
      </c>
      <c r="B304" s="7" t="s">
        <v>180</v>
      </c>
      <c r="C304" s="7" t="s">
        <v>1147</v>
      </c>
    </row>
    <row r="305" spans="1:3">
      <c r="A305" s="7" t="s">
        <v>784</v>
      </c>
      <c r="B305" s="7" t="s">
        <v>181</v>
      </c>
      <c r="C305" s="7" t="s">
        <v>1145</v>
      </c>
    </row>
    <row r="306" spans="1:3">
      <c r="A306" s="7" t="s">
        <v>788</v>
      </c>
      <c r="B306" s="7" t="s">
        <v>175</v>
      </c>
      <c r="C306" s="7" t="s">
        <v>1156</v>
      </c>
    </row>
    <row r="307" spans="1:3">
      <c r="A307" s="7" t="s">
        <v>779</v>
      </c>
      <c r="B307" s="7" t="s">
        <v>178</v>
      </c>
      <c r="C307" s="7" t="s">
        <v>1144</v>
      </c>
    </row>
    <row r="308" spans="1:3">
      <c r="A308" s="7" t="s">
        <v>782</v>
      </c>
      <c r="B308" s="7" t="s">
        <v>177</v>
      </c>
      <c r="C308" s="7" t="s">
        <v>1161</v>
      </c>
    </row>
    <row r="309" spans="1:3">
      <c r="A309" s="7" t="s">
        <v>780</v>
      </c>
      <c r="B309" s="7" t="s">
        <v>176</v>
      </c>
      <c r="C309" s="7" t="s">
        <v>1155</v>
      </c>
    </row>
    <row r="310" spans="1:3">
      <c r="A310" s="7" t="s">
        <v>783</v>
      </c>
      <c r="B310" s="7" t="s">
        <v>173</v>
      </c>
      <c r="C310" s="7" t="s">
        <v>1152</v>
      </c>
    </row>
    <row r="311" spans="1:3">
      <c r="A311" s="7" t="s">
        <v>16</v>
      </c>
      <c r="B311" s="7" t="s">
        <v>160</v>
      </c>
      <c r="C311" s="7" t="s">
        <v>1143</v>
      </c>
    </row>
    <row r="312" spans="1:3">
      <c r="A312" s="7" t="s">
        <v>136</v>
      </c>
      <c r="B312" s="7" t="s">
        <v>172</v>
      </c>
      <c r="C312" s="7" t="s">
        <v>1160</v>
      </c>
    </row>
    <row r="313" spans="1:3">
      <c r="A313" s="7" t="s">
        <v>756</v>
      </c>
      <c r="B313" s="7" t="s">
        <v>163</v>
      </c>
      <c r="C313" s="7" t="s">
        <v>1153</v>
      </c>
    </row>
    <row r="314" spans="1:3">
      <c r="A314" s="7" t="s">
        <v>878</v>
      </c>
      <c r="B314" s="7" t="s">
        <v>165</v>
      </c>
      <c r="C314" s="7" t="s">
        <v>1165</v>
      </c>
    </row>
    <row r="315" spans="1:3">
      <c r="A315" s="7" t="s">
        <v>116</v>
      </c>
      <c r="B315" s="7" t="s">
        <v>183</v>
      </c>
      <c r="C315" s="7" t="s">
        <v>702</v>
      </c>
    </row>
    <row r="316" spans="1:3">
      <c r="A316" s="7" t="s">
        <v>117</v>
      </c>
      <c r="B316" s="7" t="s">
        <v>167</v>
      </c>
      <c r="C316" s="7" t="s">
        <v>638</v>
      </c>
    </row>
    <row r="317" spans="1:3">
      <c r="A317" s="7" t="s">
        <v>126</v>
      </c>
      <c r="B317" s="7" t="s">
        <v>168</v>
      </c>
      <c r="C317" s="7" t="s">
        <v>639</v>
      </c>
    </row>
    <row r="318" spans="1:3">
      <c r="A318" s="7" t="s">
        <v>133</v>
      </c>
      <c r="B318" s="7" t="s">
        <v>158</v>
      </c>
      <c r="C318" s="7" t="s">
        <v>634</v>
      </c>
    </row>
    <row r="319" spans="1:3">
      <c r="A319" s="7" t="s">
        <v>123</v>
      </c>
      <c r="B319" s="7" t="s">
        <v>155</v>
      </c>
      <c r="C319" s="7" t="s">
        <v>641</v>
      </c>
    </row>
    <row r="320" spans="1:3">
      <c r="A320" s="7" t="s">
        <v>115</v>
      </c>
      <c r="B320" s="7" t="s">
        <v>720</v>
      </c>
      <c r="C320" s="7" t="s">
        <v>696</v>
      </c>
    </row>
    <row r="321" spans="1:3">
      <c r="A321" s="7" t="s">
        <v>130</v>
      </c>
      <c r="B321" s="7" t="s">
        <v>726</v>
      </c>
      <c r="C321" s="7" t="s">
        <v>710</v>
      </c>
    </row>
    <row r="322" spans="1:3">
      <c r="A322" s="7" t="s">
        <v>132</v>
      </c>
      <c r="B322" s="7" t="s">
        <v>727</v>
      </c>
      <c r="C322" s="7" t="s">
        <v>636</v>
      </c>
    </row>
    <row r="323" spans="1:3">
      <c r="A323" s="7" t="s">
        <v>131</v>
      </c>
      <c r="B323" s="7" t="s">
        <v>1120</v>
      </c>
      <c r="C323" s="7" t="s">
        <v>709</v>
      </c>
    </row>
    <row r="324" spans="1:3">
      <c r="A324" s="7" t="s">
        <v>879</v>
      </c>
      <c r="B324" s="7" t="s">
        <v>508</v>
      </c>
      <c r="C324" s="7" t="s">
        <v>719</v>
      </c>
    </row>
    <row r="325" spans="1:3">
      <c r="A325" s="7" t="s">
        <v>875</v>
      </c>
      <c r="B325" s="7" t="s">
        <v>507</v>
      </c>
      <c r="C325" s="7" t="s">
        <v>718</v>
      </c>
    </row>
    <row r="326" spans="1:3">
      <c r="A326" s="7" t="s">
        <v>871</v>
      </c>
      <c r="B326" s="7" t="s">
        <v>498</v>
      </c>
      <c r="C326" s="7" t="s">
        <v>705</v>
      </c>
    </row>
    <row r="327" spans="1:3">
      <c r="A327" s="7" t="s">
        <v>869</v>
      </c>
      <c r="B327" s="7" t="s">
        <v>492</v>
      </c>
      <c r="C327" s="7" t="s">
        <v>699</v>
      </c>
    </row>
    <row r="328" spans="1:3">
      <c r="A328" s="7" t="s">
        <v>134</v>
      </c>
      <c r="B328" s="7" t="s">
        <v>470</v>
      </c>
      <c r="C328" s="7" t="s">
        <v>713</v>
      </c>
    </row>
    <row r="329" spans="1:3">
      <c r="A329" s="7" t="s">
        <v>568</v>
      </c>
      <c r="B329" s="7" t="s">
        <v>478</v>
      </c>
      <c r="C329" s="7" t="s">
        <v>707</v>
      </c>
    </row>
    <row r="330" spans="1:3">
      <c r="A330" s="7" t="s">
        <v>12</v>
      </c>
      <c r="B330" s="7" t="s">
        <v>505</v>
      </c>
      <c r="C330" s="7" t="s">
        <v>633</v>
      </c>
    </row>
    <row r="331" spans="1:3">
      <c r="A331" s="7" t="s">
        <v>22</v>
      </c>
      <c r="B331" s="7" t="s">
        <v>506</v>
      </c>
      <c r="C331" s="7" t="s">
        <v>645</v>
      </c>
    </row>
    <row r="332" spans="1:3">
      <c r="A332" s="7" t="s">
        <v>363</v>
      </c>
      <c r="B332" s="7" t="s">
        <v>472</v>
      </c>
      <c r="C332" s="7" t="s">
        <v>703</v>
      </c>
    </row>
    <row r="333" spans="1:3">
      <c r="A333" s="7" t="s">
        <v>367</v>
      </c>
      <c r="B333" s="7" t="s">
        <v>473</v>
      </c>
      <c r="C333" s="7" t="s">
        <v>640</v>
      </c>
    </row>
    <row r="334" spans="1:3">
      <c r="A334" s="7" t="s">
        <v>365</v>
      </c>
      <c r="B334" s="7" t="s">
        <v>500</v>
      </c>
      <c r="C334" s="7" t="s">
        <v>704</v>
      </c>
    </row>
    <row r="335" spans="1:3">
      <c r="A335" s="7" t="s">
        <v>361</v>
      </c>
      <c r="B335" s="7" t="s">
        <v>474</v>
      </c>
      <c r="C335" s="7" t="s">
        <v>714</v>
      </c>
    </row>
    <row r="336" spans="1:3">
      <c r="A336" s="7" t="s">
        <v>346</v>
      </c>
      <c r="B336" s="7" t="s">
        <v>494</v>
      </c>
      <c r="C336" s="7" t="s">
        <v>711</v>
      </c>
    </row>
    <row r="337" spans="1:3">
      <c r="A337" s="7" t="s">
        <v>360</v>
      </c>
      <c r="B337" s="7" t="s">
        <v>471</v>
      </c>
      <c r="C337" s="7" t="s">
        <v>715</v>
      </c>
    </row>
    <row r="338" spans="1:3">
      <c r="A338" s="7" t="s">
        <v>342</v>
      </c>
      <c r="B338" s="7" t="s">
        <v>475</v>
      </c>
      <c r="C338" s="7" t="s">
        <v>712</v>
      </c>
    </row>
    <row r="339" spans="1:3">
      <c r="A339" s="7" t="s">
        <v>23</v>
      </c>
      <c r="B339" s="7" t="s">
        <v>496</v>
      </c>
      <c r="C339" s="7" t="s">
        <v>698</v>
      </c>
    </row>
    <row r="340" spans="1:3">
      <c r="A340" s="7" t="s">
        <v>359</v>
      </c>
      <c r="B340" s="7" t="s">
        <v>480</v>
      </c>
      <c r="C340" s="7" t="s">
        <v>706</v>
      </c>
    </row>
    <row r="341" spans="1:3">
      <c r="A341" s="7" t="s">
        <v>364</v>
      </c>
      <c r="B341" s="7" t="s">
        <v>504</v>
      </c>
      <c r="C341" s="7" t="s">
        <v>717</v>
      </c>
    </row>
    <row r="342" spans="1:3">
      <c r="A342" s="7" t="s">
        <v>118</v>
      </c>
      <c r="B342" s="7" t="s">
        <v>476</v>
      </c>
      <c r="C342" s="7" t="s">
        <v>697</v>
      </c>
    </row>
    <row r="343" spans="1:3">
      <c r="A343" s="7" t="s">
        <v>100</v>
      </c>
      <c r="B343" s="7" t="s">
        <v>479</v>
      </c>
      <c r="C343" s="7" t="s">
        <v>708</v>
      </c>
    </row>
    <row r="344" spans="1:3">
      <c r="A344" s="7" t="s">
        <v>114</v>
      </c>
      <c r="B344" s="7" t="s">
        <v>495</v>
      </c>
      <c r="C344" s="7" t="s">
        <v>644</v>
      </c>
    </row>
    <row r="345" spans="1:3">
      <c r="A345" s="7" t="s">
        <v>109</v>
      </c>
      <c r="B345" s="7" t="s">
        <v>502</v>
      </c>
      <c r="C345" s="7" t="s">
        <v>716</v>
      </c>
    </row>
    <row r="346" spans="1:3">
      <c r="A346" s="7" t="s">
        <v>128</v>
      </c>
      <c r="B346" s="7" t="s">
        <v>481</v>
      </c>
      <c r="C346" s="7" t="s">
        <v>635</v>
      </c>
    </row>
    <row r="347" spans="1:3">
      <c r="A347" s="7" t="s">
        <v>110</v>
      </c>
      <c r="B347" s="7" t="s">
        <v>484</v>
      </c>
      <c r="C347" s="7" t="s">
        <v>700</v>
      </c>
    </row>
    <row r="348" spans="1:3">
      <c r="A348" s="7" t="s">
        <v>103</v>
      </c>
      <c r="B348" s="7" t="s">
        <v>482</v>
      </c>
      <c r="C348" s="7" t="s">
        <v>701</v>
      </c>
    </row>
    <row r="349" spans="1:3">
      <c r="A349" s="7" t="s">
        <v>101</v>
      </c>
      <c r="B349" s="7" t="s">
        <v>485</v>
      </c>
      <c r="C349" s="7" t="s">
        <v>637</v>
      </c>
    </row>
    <row r="350" spans="1:3">
      <c r="A350" s="7" t="s">
        <v>127</v>
      </c>
      <c r="B350" s="7" t="s">
        <v>491</v>
      </c>
      <c r="C350" s="7" t="s">
        <v>643</v>
      </c>
    </row>
    <row r="351" spans="1:3">
      <c r="A351" s="7" t="s">
        <v>873</v>
      </c>
      <c r="B351" s="7" t="s">
        <v>486</v>
      </c>
      <c r="C351" s="7" t="s">
        <v>642</v>
      </c>
    </row>
    <row r="352" spans="1:3">
      <c r="A352" s="7" t="s">
        <v>904</v>
      </c>
      <c r="B352" s="7" t="s">
        <v>477</v>
      </c>
      <c r="C352" s="7" t="s">
        <v>959</v>
      </c>
    </row>
    <row r="353" spans="1:3">
      <c r="A353" s="7" t="s">
        <v>892</v>
      </c>
      <c r="B353" s="7" t="s">
        <v>497</v>
      </c>
      <c r="C353" s="7" t="s">
        <v>964</v>
      </c>
    </row>
    <row r="354" spans="1:3">
      <c r="A354" s="7" t="s">
        <v>870</v>
      </c>
      <c r="B354" s="7" t="s">
        <v>490</v>
      </c>
      <c r="C354" s="7" t="s">
        <v>948</v>
      </c>
    </row>
    <row r="355" spans="1:3">
      <c r="A355" s="7" t="s">
        <v>882</v>
      </c>
      <c r="B355" s="7" t="s">
        <v>487</v>
      </c>
      <c r="C355" s="7" t="s">
        <v>974</v>
      </c>
    </row>
    <row r="356" spans="1:3">
      <c r="A356" s="7" t="s">
        <v>895</v>
      </c>
      <c r="B356" s="7" t="s">
        <v>499</v>
      </c>
      <c r="C356" s="7" t="s">
        <v>951</v>
      </c>
    </row>
    <row r="357" spans="1:3">
      <c r="A357" s="7" t="s">
        <v>1048</v>
      </c>
      <c r="B357" s="7" t="s">
        <v>469</v>
      </c>
      <c r="C357" s="7" t="s">
        <v>963</v>
      </c>
    </row>
    <row r="358" spans="1:3">
      <c r="A358" s="7" t="s">
        <v>593</v>
      </c>
      <c r="B358" s="7" t="s">
        <v>501</v>
      </c>
      <c r="C358" s="7" t="s">
        <v>946</v>
      </c>
    </row>
    <row r="359" spans="1:3">
      <c r="A359" s="7" t="s">
        <v>580</v>
      </c>
      <c r="B359" s="7" t="s">
        <v>489</v>
      </c>
      <c r="C359" s="7" t="s">
        <v>977</v>
      </c>
    </row>
    <row r="360" spans="1:3">
      <c r="A360" s="7" t="s">
        <v>348</v>
      </c>
      <c r="B360" s="7" t="s">
        <v>483</v>
      </c>
      <c r="C360" s="7" t="s">
        <v>968</v>
      </c>
    </row>
    <row r="361" spans="1:3">
      <c r="A361" s="7" t="s">
        <v>574</v>
      </c>
      <c r="B361" s="7" t="s">
        <v>493</v>
      </c>
      <c r="C361" s="7" t="s">
        <v>972</v>
      </c>
    </row>
    <row r="362" spans="1:3">
      <c r="A362" s="7" t="s">
        <v>570</v>
      </c>
      <c r="B362" s="7" t="s">
        <v>488</v>
      </c>
      <c r="C362" s="7" t="s">
        <v>970</v>
      </c>
    </row>
    <row r="363" spans="1:3">
      <c r="A363" s="7" t="s">
        <v>577</v>
      </c>
      <c r="B363" s="7" t="s">
        <v>503</v>
      </c>
      <c r="C363" s="7" t="s">
        <v>978</v>
      </c>
    </row>
    <row r="364" spans="1:3">
      <c r="A364" s="7" t="s">
        <v>595</v>
      </c>
      <c r="B364" s="7" t="s">
        <v>980</v>
      </c>
      <c r="C364" s="7" t="s">
        <v>973</v>
      </c>
    </row>
    <row r="365" spans="1:3">
      <c r="A365" s="7" t="s">
        <v>239</v>
      </c>
      <c r="B365" s="7" t="s">
        <v>444</v>
      </c>
      <c r="C365" s="7" t="s">
        <v>966</v>
      </c>
    </row>
    <row r="366" spans="1:3">
      <c r="A366" s="7" t="s">
        <v>222</v>
      </c>
      <c r="B366" s="7" t="s">
        <v>994</v>
      </c>
      <c r="C366" s="7" t="s">
        <v>953</v>
      </c>
    </row>
    <row r="367" spans="1:3">
      <c r="A367" s="7" t="s">
        <v>211</v>
      </c>
      <c r="B367" s="7" t="s">
        <v>448</v>
      </c>
      <c r="C367" s="7" t="s">
        <v>956</v>
      </c>
    </row>
    <row r="368" spans="1:3">
      <c r="A368" s="7" t="s">
        <v>221</v>
      </c>
      <c r="B368" s="7" t="s">
        <v>451</v>
      </c>
      <c r="C368" s="7" t="s">
        <v>965</v>
      </c>
    </row>
    <row r="369" spans="1:3">
      <c r="A369" s="7" t="s">
        <v>236</v>
      </c>
      <c r="B369" s="7" t="s">
        <v>433</v>
      </c>
      <c r="C369" s="7" t="s">
        <v>967</v>
      </c>
    </row>
    <row r="370" spans="1:3">
      <c r="A370" s="7" t="s">
        <v>241</v>
      </c>
      <c r="B370" s="7" t="s">
        <v>452</v>
      </c>
      <c r="C370" s="7" t="s">
        <v>943</v>
      </c>
    </row>
    <row r="371" spans="1:3">
      <c r="A371" s="7" t="s">
        <v>243</v>
      </c>
      <c r="B371" s="7" t="s">
        <v>866</v>
      </c>
      <c r="C371" s="7" t="s">
        <v>947</v>
      </c>
    </row>
    <row r="372" spans="1:3">
      <c r="A372" s="7" t="s">
        <v>215</v>
      </c>
      <c r="B372" s="7" t="s">
        <v>867</v>
      </c>
      <c r="C372" s="7" t="s">
        <v>954</v>
      </c>
    </row>
    <row r="373" spans="1:3">
      <c r="A373" s="7" t="s">
        <v>224</v>
      </c>
      <c r="B373" s="7" t="s">
        <v>981</v>
      </c>
      <c r="C373" s="7" t="s">
        <v>961</v>
      </c>
    </row>
    <row r="374" spans="1:3">
      <c r="A374" s="7" t="s">
        <v>99</v>
      </c>
      <c r="B374" s="7" t="s">
        <v>9</v>
      </c>
      <c r="C374" s="7" t="s">
        <v>962</v>
      </c>
    </row>
    <row r="375" spans="1:3">
      <c r="A375" s="7" t="s">
        <v>125</v>
      </c>
      <c r="B375" s="7" t="s">
        <v>754</v>
      </c>
      <c r="C375" s="7" t="s">
        <v>950</v>
      </c>
    </row>
  </sheetData>
  <sortState ref="C2:C2474">
    <sortCondition ref="C735"/>
  </sortState>
  <pageMargins left="0.7" right="0.7" top="1.21" bottom="0.75" header="0.3" footer="0.3"/>
  <pageSetup orientation="portrait" verticalDpi="0" r:id="rId1"/>
  <headerFooter>
    <oddHeader>&amp;LSERIES DEL PEDIMENTO # 3371-1000600
POR EL AGENTE ADUANAL
GABRIEL ESCALANTE B
PAT # 3371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E120"/>
  <sheetViews>
    <sheetView workbookViewId="0">
      <selection activeCell="A2" sqref="A2"/>
    </sheetView>
  </sheetViews>
  <sheetFormatPr defaultRowHeight="15"/>
  <cols>
    <col min="1" max="2" width="24.42578125" style="7" bestFit="1" customWidth="1"/>
    <col min="3" max="3" width="11.140625" style="7" bestFit="1" customWidth="1"/>
    <col min="4" max="4" width="10.7109375" style="7" bestFit="1" customWidth="1"/>
    <col min="5" max="5" width="9.7109375" style="7" bestFit="1" customWidth="1"/>
    <col min="6" max="16384" width="9.140625" style="7"/>
  </cols>
  <sheetData>
    <row r="1" spans="1:5">
      <c r="A1" s="7" t="s">
        <v>1576</v>
      </c>
      <c r="B1" s="7" t="s">
        <v>1269</v>
      </c>
      <c r="C1" s="7" t="s">
        <v>1530</v>
      </c>
      <c r="D1" s="7" t="s">
        <v>1634</v>
      </c>
      <c r="E1" s="7" t="s">
        <v>1465</v>
      </c>
    </row>
    <row r="2" spans="1:5">
      <c r="A2" s="7" t="s">
        <v>1574</v>
      </c>
      <c r="B2" s="7" t="s">
        <v>1267</v>
      </c>
      <c r="C2" s="7" t="s">
        <v>1529</v>
      </c>
      <c r="D2" s="7" t="s">
        <v>1604</v>
      </c>
      <c r="E2" s="7" t="s">
        <v>1279</v>
      </c>
    </row>
    <row r="3" spans="1:5">
      <c r="A3" s="7" t="s">
        <v>1575</v>
      </c>
      <c r="B3" s="7" t="s">
        <v>1268</v>
      </c>
      <c r="C3" s="7" t="s">
        <v>1531</v>
      </c>
      <c r="D3" s="7" t="s">
        <v>1618</v>
      </c>
      <c r="E3" s="7" t="s">
        <v>1520</v>
      </c>
    </row>
    <row r="4" spans="1:5">
      <c r="A4" s="7" t="s">
        <v>1577</v>
      </c>
      <c r="B4" s="7" t="s">
        <v>1737</v>
      </c>
      <c r="C4" s="7" t="s">
        <v>1496</v>
      </c>
      <c r="D4" s="7" t="s">
        <v>1612</v>
      </c>
      <c r="E4" s="7" t="s">
        <v>1484</v>
      </c>
    </row>
    <row r="5" spans="1:5">
      <c r="A5" s="7" t="s">
        <v>1584</v>
      </c>
      <c r="B5" s="7" t="s">
        <v>1736</v>
      </c>
      <c r="C5" s="7" t="s">
        <v>1514</v>
      </c>
      <c r="D5" s="7" t="s">
        <v>1614</v>
      </c>
      <c r="E5" s="7" t="s">
        <v>1486</v>
      </c>
    </row>
    <row r="6" spans="1:5">
      <c r="A6" s="7" t="s">
        <v>1568</v>
      </c>
      <c r="B6" s="7" t="s">
        <v>1738</v>
      </c>
      <c r="C6" s="7" t="s">
        <v>1506</v>
      </c>
      <c r="D6" s="7" t="s">
        <v>1611</v>
      </c>
      <c r="E6" s="7" t="s">
        <v>1487</v>
      </c>
    </row>
    <row r="7" spans="1:5">
      <c r="A7" s="7" t="s">
        <v>1567</v>
      </c>
      <c r="B7" s="7" t="s">
        <v>1732</v>
      </c>
      <c r="C7" s="7" t="s">
        <v>1513</v>
      </c>
      <c r="D7" s="7" t="s">
        <v>1626</v>
      </c>
      <c r="E7" s="7" t="s">
        <v>1485</v>
      </c>
    </row>
    <row r="8" spans="1:5">
      <c r="A8" s="7" t="s">
        <v>1565</v>
      </c>
      <c r="B8" s="7" t="s">
        <v>1735</v>
      </c>
      <c r="C8" s="7" t="s">
        <v>1278</v>
      </c>
      <c r="D8" s="7" t="s">
        <v>1631</v>
      </c>
      <c r="E8" s="7" t="s">
        <v>1491</v>
      </c>
    </row>
    <row r="9" spans="1:5">
      <c r="A9" s="7" t="s">
        <v>1566</v>
      </c>
      <c r="B9" s="7" t="s">
        <v>1733</v>
      </c>
      <c r="C9" s="7" t="s">
        <v>1264</v>
      </c>
      <c r="D9" s="7" t="s">
        <v>1624</v>
      </c>
      <c r="E9" s="7" t="s">
        <v>1490</v>
      </c>
    </row>
    <row r="10" spans="1:5">
      <c r="A10" s="7" t="s">
        <v>1573</v>
      </c>
      <c r="B10" s="7" t="s">
        <v>1731</v>
      </c>
      <c r="C10" s="7" t="s">
        <v>1265</v>
      </c>
      <c r="D10" s="7" t="s">
        <v>1616</v>
      </c>
      <c r="E10" s="7" t="s">
        <v>1488</v>
      </c>
    </row>
    <row r="11" spans="1:5">
      <c r="A11" s="7" t="s">
        <v>1564</v>
      </c>
      <c r="B11" s="7" t="s">
        <v>1730</v>
      </c>
      <c r="C11" s="7" t="s">
        <v>1263</v>
      </c>
      <c r="D11" s="7" t="s">
        <v>1609</v>
      </c>
      <c r="E11" s="7" t="s">
        <v>1489</v>
      </c>
    </row>
    <row r="12" spans="1:5">
      <c r="A12" s="7" t="s">
        <v>1559</v>
      </c>
      <c r="B12" s="7" t="s">
        <v>1734</v>
      </c>
      <c r="C12" s="7" t="s">
        <v>1282</v>
      </c>
      <c r="D12" s="7" t="s">
        <v>1630</v>
      </c>
      <c r="E12" s="7" t="s">
        <v>1274</v>
      </c>
    </row>
    <row r="13" spans="1:5">
      <c r="A13" s="7" t="s">
        <v>1578</v>
      </c>
      <c r="B13" s="7" t="s">
        <v>1481</v>
      </c>
      <c r="C13" s="7" t="s">
        <v>1431</v>
      </c>
      <c r="D13" s="7" t="s">
        <v>1619</v>
      </c>
      <c r="E13" s="7" t="s">
        <v>1276</v>
      </c>
    </row>
    <row r="14" spans="1:5">
      <c r="A14" s="7" t="s">
        <v>1572</v>
      </c>
      <c r="B14" s="7" t="s">
        <v>1479</v>
      </c>
      <c r="C14" s="7" t="s">
        <v>1426</v>
      </c>
      <c r="D14" s="7" t="s">
        <v>1266</v>
      </c>
      <c r="E14" s="7" t="s">
        <v>1275</v>
      </c>
    </row>
    <row r="15" spans="1:5">
      <c r="A15" s="7" t="s">
        <v>1571</v>
      </c>
      <c r="B15" s="7" t="s">
        <v>1473</v>
      </c>
      <c r="C15" s="7" t="s">
        <v>1419</v>
      </c>
      <c r="D15" s="7" t="s">
        <v>1273</v>
      </c>
      <c r="E15" s="7" t="s">
        <v>1277</v>
      </c>
    </row>
    <row r="16" spans="1:5">
      <c r="A16" s="7" t="s">
        <v>1560</v>
      </c>
      <c r="B16" s="7" t="s">
        <v>1480</v>
      </c>
      <c r="C16" s="7" t="s">
        <v>1422</v>
      </c>
      <c r="D16" s="7" t="s">
        <v>1283</v>
      </c>
      <c r="E16" s="7" t="s">
        <v>1387</v>
      </c>
    </row>
    <row r="17" spans="1:5">
      <c r="A17" s="7" t="s">
        <v>1562</v>
      </c>
      <c r="B17" s="7" t="s">
        <v>1478</v>
      </c>
      <c r="C17" s="7" t="s">
        <v>1417</v>
      </c>
      <c r="D17" s="7" t="s">
        <v>1284</v>
      </c>
      <c r="E17" s="7" t="s">
        <v>1397</v>
      </c>
    </row>
    <row r="18" spans="1:5">
      <c r="A18" s="7" t="s">
        <v>1588</v>
      </c>
      <c r="B18" s="7" t="s">
        <v>1472</v>
      </c>
      <c r="C18" s="7" t="s">
        <v>1424</v>
      </c>
      <c r="D18" s="7" t="s">
        <v>1281</v>
      </c>
      <c r="E18" s="7" t="s">
        <v>1382</v>
      </c>
    </row>
    <row r="19" spans="1:5">
      <c r="A19" s="7" t="s">
        <v>1587</v>
      </c>
      <c r="B19" s="7" t="s">
        <v>1512</v>
      </c>
      <c r="C19" s="7" t="s">
        <v>1430</v>
      </c>
      <c r="D19" s="7" t="s">
        <v>1515</v>
      </c>
      <c r="E19" s="7" t="s">
        <v>1368</v>
      </c>
    </row>
    <row r="20" spans="1:5">
      <c r="A20" s="7" t="s">
        <v>1561</v>
      </c>
      <c r="B20" s="7" t="s">
        <v>1511</v>
      </c>
      <c r="C20" s="7" t="s">
        <v>1425</v>
      </c>
      <c r="D20" s="7" t="s">
        <v>1516</v>
      </c>
      <c r="E20" s="7" t="s">
        <v>1396</v>
      </c>
    </row>
    <row r="21" spans="1:5">
      <c r="A21" s="7" t="s">
        <v>1591</v>
      </c>
      <c r="B21" s="7" t="s">
        <v>1502</v>
      </c>
      <c r="C21" s="7" t="s">
        <v>1415</v>
      </c>
      <c r="D21" s="7" t="s">
        <v>1260</v>
      </c>
      <c r="E21" s="7" t="s">
        <v>1378</v>
      </c>
    </row>
    <row r="22" spans="1:5">
      <c r="A22" s="7" t="s">
        <v>1586</v>
      </c>
      <c r="B22" s="7" t="s">
        <v>1503</v>
      </c>
      <c r="C22" s="7" t="s">
        <v>1412</v>
      </c>
      <c r="D22" s="7" t="s">
        <v>1258</v>
      </c>
      <c r="E22" s="7" t="s">
        <v>1383</v>
      </c>
    </row>
    <row r="23" spans="1:5">
      <c r="A23" s="7" t="s">
        <v>1569</v>
      </c>
      <c r="B23" s="7" t="s">
        <v>1523</v>
      </c>
      <c r="C23" s="7" t="s">
        <v>1429</v>
      </c>
      <c r="D23" s="7" t="s">
        <v>1257</v>
      </c>
      <c r="E23" s="7" t="s">
        <v>1374</v>
      </c>
    </row>
    <row r="24" spans="1:5">
      <c r="A24" s="7" t="s">
        <v>1589</v>
      </c>
      <c r="B24" s="7" t="s">
        <v>1524</v>
      </c>
      <c r="C24" s="7" t="s">
        <v>1432</v>
      </c>
      <c r="D24" s="7" t="s">
        <v>1262</v>
      </c>
      <c r="E24" s="7" t="s">
        <v>1392</v>
      </c>
    </row>
    <row r="25" spans="1:5">
      <c r="A25" s="7" t="s">
        <v>1580</v>
      </c>
      <c r="B25" s="7" t="s">
        <v>1741</v>
      </c>
      <c r="C25" s="7" t="s">
        <v>1423</v>
      </c>
      <c r="D25" s="7" t="s">
        <v>1255</v>
      </c>
      <c r="E25" s="7" t="s">
        <v>1380</v>
      </c>
    </row>
    <row r="26" spans="1:5">
      <c r="A26" s="7" t="s">
        <v>1590</v>
      </c>
      <c r="B26" s="7" t="s">
        <v>1747</v>
      </c>
      <c r="C26" s="7" t="s">
        <v>1433</v>
      </c>
      <c r="D26" s="7" t="s">
        <v>1259</v>
      </c>
      <c r="E26" s="7" t="s">
        <v>1364</v>
      </c>
    </row>
    <row r="27" spans="1:5">
      <c r="A27" s="7" t="s">
        <v>1585</v>
      </c>
      <c r="B27" s="7" t="s">
        <v>1739</v>
      </c>
      <c r="C27" s="7" t="s">
        <v>1427</v>
      </c>
      <c r="D27" s="7" t="s">
        <v>1253</v>
      </c>
      <c r="E27" s="7" t="s">
        <v>1388</v>
      </c>
    </row>
    <row r="28" spans="1:5">
      <c r="A28" s="7" t="s">
        <v>1570</v>
      </c>
      <c r="B28" s="7" t="s">
        <v>1740</v>
      </c>
      <c r="C28" s="7" t="s">
        <v>1434</v>
      </c>
      <c r="D28" s="7" t="s">
        <v>1254</v>
      </c>
      <c r="E28" s="7" t="s">
        <v>1386</v>
      </c>
    </row>
    <row r="29" spans="1:5">
      <c r="A29" s="7" t="s">
        <v>1563</v>
      </c>
      <c r="B29" s="7" t="s">
        <v>1744</v>
      </c>
      <c r="C29" s="7" t="s">
        <v>1416</v>
      </c>
      <c r="D29" s="7" t="s">
        <v>1261</v>
      </c>
      <c r="E29" s="7" t="s">
        <v>1367</v>
      </c>
    </row>
    <row r="30" spans="1:5">
      <c r="A30" s="7" t="s">
        <v>1593</v>
      </c>
      <c r="B30" s="7" t="s">
        <v>1742</v>
      </c>
      <c r="C30" s="7" t="s">
        <v>1418</v>
      </c>
      <c r="D30" s="7" t="s">
        <v>1256</v>
      </c>
      <c r="E30" s="7" t="s">
        <v>1395</v>
      </c>
    </row>
    <row r="31" spans="1:5">
      <c r="A31" s="7" t="s">
        <v>1592</v>
      </c>
      <c r="B31" s="7" t="s">
        <v>1501</v>
      </c>
      <c r="C31" s="7" t="s">
        <v>1413</v>
      </c>
      <c r="D31" s="7" t="s">
        <v>1243</v>
      </c>
      <c r="E31" s="7" t="s">
        <v>1389</v>
      </c>
    </row>
    <row r="32" spans="1:5">
      <c r="A32" s="7" t="s">
        <v>1581</v>
      </c>
      <c r="B32" s="7" t="s">
        <v>1746</v>
      </c>
      <c r="C32" s="7" t="s">
        <v>1435</v>
      </c>
      <c r="D32" s="7" t="s">
        <v>1252</v>
      </c>
      <c r="E32" s="7" t="s">
        <v>1390</v>
      </c>
    </row>
    <row r="33" spans="1:5">
      <c r="A33" s="7" t="s">
        <v>1582</v>
      </c>
      <c r="B33" s="7" t="s">
        <v>1743</v>
      </c>
      <c r="C33" s="7" t="s">
        <v>1436</v>
      </c>
      <c r="D33" s="7" t="s">
        <v>1250</v>
      </c>
      <c r="E33" s="7" t="s">
        <v>1376</v>
      </c>
    </row>
    <row r="34" spans="1:5">
      <c r="A34" s="7" t="s">
        <v>1583</v>
      </c>
      <c r="B34" s="7" t="s">
        <v>1745</v>
      </c>
      <c r="C34" s="7" t="s">
        <v>1428</v>
      </c>
      <c r="D34" s="7" t="s">
        <v>1246</v>
      </c>
      <c r="E34" s="7" t="s">
        <v>1370</v>
      </c>
    </row>
    <row r="35" spans="1:5">
      <c r="A35" s="7" t="s">
        <v>1594</v>
      </c>
      <c r="B35" s="7" t="s">
        <v>1532</v>
      </c>
      <c r="C35" s="7" t="s">
        <v>1421</v>
      </c>
      <c r="D35" s="7" t="s">
        <v>1244</v>
      </c>
      <c r="E35" s="7" t="s">
        <v>1375</v>
      </c>
    </row>
    <row r="36" spans="1:5">
      <c r="A36" s="7" t="s">
        <v>1598</v>
      </c>
      <c r="B36" s="7" t="s">
        <v>1533</v>
      </c>
      <c r="C36" s="7" t="s">
        <v>1414</v>
      </c>
      <c r="D36" s="7" t="s">
        <v>1251</v>
      </c>
      <c r="E36" s="7" t="s">
        <v>1394</v>
      </c>
    </row>
    <row r="37" spans="1:5">
      <c r="A37" s="7" t="s">
        <v>1597</v>
      </c>
      <c r="B37" s="7" t="s">
        <v>1534</v>
      </c>
      <c r="C37" s="7" t="s">
        <v>1420</v>
      </c>
      <c r="D37" s="7" t="s">
        <v>1247</v>
      </c>
      <c r="E37" s="7" t="s">
        <v>1361</v>
      </c>
    </row>
    <row r="38" spans="1:5">
      <c r="A38" s="7" t="s">
        <v>1596</v>
      </c>
      <c r="B38" s="7" t="s">
        <v>1342</v>
      </c>
      <c r="C38" s="7" t="s">
        <v>1495</v>
      </c>
      <c r="D38" s="7" t="s">
        <v>1245</v>
      </c>
      <c r="E38" s="7" t="s">
        <v>1379</v>
      </c>
    </row>
    <row r="39" spans="1:5">
      <c r="A39" s="7" t="s">
        <v>1579</v>
      </c>
      <c r="B39" s="7" t="s">
        <v>1350</v>
      </c>
      <c r="C39" s="7" t="s">
        <v>1504</v>
      </c>
      <c r="D39" s="7" t="s">
        <v>1249</v>
      </c>
      <c r="E39" s="7" t="s">
        <v>1373</v>
      </c>
    </row>
    <row r="40" spans="1:5">
      <c r="A40" s="7" t="s">
        <v>1595</v>
      </c>
      <c r="B40" s="7" t="s">
        <v>1345</v>
      </c>
      <c r="C40" s="7" t="s">
        <v>1500</v>
      </c>
      <c r="D40" s="7" t="s">
        <v>1248</v>
      </c>
      <c r="E40" s="7" t="s">
        <v>1385</v>
      </c>
    </row>
    <row r="41" spans="1:5">
      <c r="A41" s="7" t="s">
        <v>1507</v>
      </c>
      <c r="B41" s="7" t="s">
        <v>1332</v>
      </c>
      <c r="C41" s="7" t="s">
        <v>1474</v>
      </c>
      <c r="D41" s="7" t="s">
        <v>1497</v>
      </c>
      <c r="E41" s="7" t="s">
        <v>1371</v>
      </c>
    </row>
    <row r="42" spans="1:5">
      <c r="A42" s="7" t="s">
        <v>1509</v>
      </c>
      <c r="B42" s="7" t="s">
        <v>1331</v>
      </c>
      <c r="C42" s="7" t="s">
        <v>1475</v>
      </c>
      <c r="D42" s="7" t="s">
        <v>1410</v>
      </c>
      <c r="E42" s="7" t="s">
        <v>1369</v>
      </c>
    </row>
    <row r="43" spans="1:5">
      <c r="A43" s="7" t="s">
        <v>1508</v>
      </c>
      <c r="B43" s="7" t="s">
        <v>1333</v>
      </c>
      <c r="C43" s="7" t="s">
        <v>1483</v>
      </c>
      <c r="D43" s="7" t="s">
        <v>1406</v>
      </c>
      <c r="E43" s="7" t="s">
        <v>1381</v>
      </c>
    </row>
    <row r="44" spans="1:5">
      <c r="A44" s="7" t="s">
        <v>1461</v>
      </c>
      <c r="B44" s="7" t="s">
        <v>1325</v>
      </c>
      <c r="C44" s="7" t="s">
        <v>1477</v>
      </c>
      <c r="D44" s="7" t="s">
        <v>1401</v>
      </c>
      <c r="E44" s="7" t="s">
        <v>1377</v>
      </c>
    </row>
    <row r="45" spans="1:5">
      <c r="A45" s="7" t="s">
        <v>1443</v>
      </c>
      <c r="B45" s="7" t="s">
        <v>1358</v>
      </c>
      <c r="C45" s="7" t="s">
        <v>1482</v>
      </c>
      <c r="D45" s="7" t="s">
        <v>1403</v>
      </c>
      <c r="E45" s="7" t="s">
        <v>1366</v>
      </c>
    </row>
    <row r="46" spans="1:5">
      <c r="A46" s="7" t="s">
        <v>1451</v>
      </c>
      <c r="B46" s="7" t="s">
        <v>1338</v>
      </c>
      <c r="C46" s="7" t="s">
        <v>1476</v>
      </c>
      <c r="D46" s="7" t="s">
        <v>1408</v>
      </c>
      <c r="E46" s="7" t="s">
        <v>1384</v>
      </c>
    </row>
    <row r="47" spans="1:5">
      <c r="A47" s="7" t="s">
        <v>1439</v>
      </c>
      <c r="B47" s="7" t="s">
        <v>1344</v>
      </c>
      <c r="C47" s="7" t="s">
        <v>1510</v>
      </c>
      <c r="D47" s="7" t="s">
        <v>1407</v>
      </c>
      <c r="E47" s="7" t="s">
        <v>1391</v>
      </c>
    </row>
    <row r="48" spans="1:5">
      <c r="A48" s="7" t="s">
        <v>1448</v>
      </c>
      <c r="B48" s="7" t="s">
        <v>1330</v>
      </c>
      <c r="C48" s="7" t="s">
        <v>1505</v>
      </c>
      <c r="D48" s="7" t="s">
        <v>1411</v>
      </c>
      <c r="E48" s="7" t="s">
        <v>1393</v>
      </c>
    </row>
    <row r="49" spans="1:5">
      <c r="A49" s="7" t="s">
        <v>1446</v>
      </c>
      <c r="B49" s="7" t="s">
        <v>1347</v>
      </c>
      <c r="C49" s="7" t="s">
        <v>1697</v>
      </c>
      <c r="D49" s="7" t="s">
        <v>1398</v>
      </c>
      <c r="E49" s="7" t="s">
        <v>1365</v>
      </c>
    </row>
    <row r="50" spans="1:5">
      <c r="A50" s="7" t="s">
        <v>1455</v>
      </c>
      <c r="B50" s="7" t="s">
        <v>1329</v>
      </c>
      <c r="C50" s="7" t="s">
        <v>1696</v>
      </c>
      <c r="D50" s="7" t="s">
        <v>1399</v>
      </c>
      <c r="E50" s="7" t="s">
        <v>1362</v>
      </c>
    </row>
    <row r="51" spans="1:5">
      <c r="A51" s="7" t="s">
        <v>1454</v>
      </c>
      <c r="B51" s="7" t="s">
        <v>1349</v>
      </c>
      <c r="C51" s="7" t="s">
        <v>1700</v>
      </c>
      <c r="D51" s="7" t="s">
        <v>1400</v>
      </c>
      <c r="E51" s="7" t="s">
        <v>1363</v>
      </c>
    </row>
    <row r="52" spans="1:5">
      <c r="A52" s="7" t="s">
        <v>1458</v>
      </c>
      <c r="B52" s="7" t="s">
        <v>1343</v>
      </c>
      <c r="C52" s="7" t="s">
        <v>1695</v>
      </c>
      <c r="D52" s="7" t="s">
        <v>1404</v>
      </c>
      <c r="E52" s="7" t="s">
        <v>1372</v>
      </c>
    </row>
    <row r="53" spans="1:5">
      <c r="A53" s="7" t="s">
        <v>1449</v>
      </c>
      <c r="B53" s="7" t="s">
        <v>1353</v>
      </c>
      <c r="C53" s="7" t="s">
        <v>1698</v>
      </c>
      <c r="D53" s="7" t="s">
        <v>1405</v>
      </c>
      <c r="E53" s="7" t="s">
        <v>1517</v>
      </c>
    </row>
    <row r="54" spans="1:5">
      <c r="A54" s="7" t="s">
        <v>1444</v>
      </c>
      <c r="B54" s="7" t="s">
        <v>1337</v>
      </c>
      <c r="C54" s="7" t="s">
        <v>1693</v>
      </c>
      <c r="D54" s="7" t="s">
        <v>1402</v>
      </c>
      <c r="E54" s="7" t="s">
        <v>1518</v>
      </c>
    </row>
    <row r="55" spans="1:5">
      <c r="A55" s="7" t="s">
        <v>1440</v>
      </c>
      <c r="B55" s="7" t="s">
        <v>1340</v>
      </c>
      <c r="C55" s="7" t="s">
        <v>1692</v>
      </c>
      <c r="D55" s="7" t="s">
        <v>1409</v>
      </c>
    </row>
    <row r="56" spans="1:5">
      <c r="A56" s="7" t="s">
        <v>1447</v>
      </c>
      <c r="B56" s="7" t="s">
        <v>1354</v>
      </c>
      <c r="C56" s="7" t="s">
        <v>1699</v>
      </c>
      <c r="D56" s="7" t="s">
        <v>1721</v>
      </c>
    </row>
    <row r="57" spans="1:5">
      <c r="A57" s="7" t="s">
        <v>1456</v>
      </c>
      <c r="B57" s="7" t="s">
        <v>1336</v>
      </c>
      <c r="C57" s="7" t="s">
        <v>1701</v>
      </c>
      <c r="D57" s="7" t="s">
        <v>1728</v>
      </c>
    </row>
    <row r="58" spans="1:5">
      <c r="A58" s="7" t="s">
        <v>1459</v>
      </c>
      <c r="B58" s="7" t="s">
        <v>1324</v>
      </c>
      <c r="C58" s="7" t="s">
        <v>1694</v>
      </c>
      <c r="D58" s="7" t="s">
        <v>1726</v>
      </c>
    </row>
    <row r="59" spans="1:5">
      <c r="A59" s="7" t="s">
        <v>1453</v>
      </c>
      <c r="B59" s="7" t="s">
        <v>1359</v>
      </c>
      <c r="C59" s="7" t="s">
        <v>1522</v>
      </c>
      <c r="D59" s="7" t="s">
        <v>1727</v>
      </c>
    </row>
    <row r="60" spans="1:5">
      <c r="A60" s="7" t="s">
        <v>1450</v>
      </c>
      <c r="B60" s="7" t="s">
        <v>1341</v>
      </c>
      <c r="C60" s="7" t="s">
        <v>1521</v>
      </c>
      <c r="D60" s="7" t="s">
        <v>1723</v>
      </c>
    </row>
    <row r="61" spans="1:5">
      <c r="A61" s="7" t="s">
        <v>1452</v>
      </c>
      <c r="B61" s="7" t="s">
        <v>1326</v>
      </c>
      <c r="C61" s="7" t="s">
        <v>1653</v>
      </c>
      <c r="D61" s="7" t="s">
        <v>1722</v>
      </c>
    </row>
    <row r="62" spans="1:5">
      <c r="A62" s="7" t="s">
        <v>1460</v>
      </c>
      <c r="B62" s="7" t="s">
        <v>1339</v>
      </c>
      <c r="C62" s="7" t="s">
        <v>1648</v>
      </c>
      <c r="D62" s="7" t="s">
        <v>1729</v>
      </c>
    </row>
    <row r="63" spans="1:5">
      <c r="A63" s="7" t="s">
        <v>1457</v>
      </c>
      <c r="B63" s="7" t="s">
        <v>1328</v>
      </c>
      <c r="C63" s="7" t="s">
        <v>1652</v>
      </c>
      <c r="D63" s="7" t="s">
        <v>1724</v>
      </c>
    </row>
    <row r="64" spans="1:5">
      <c r="A64" s="7" t="s">
        <v>1441</v>
      </c>
      <c r="B64" s="7" t="s">
        <v>1327</v>
      </c>
      <c r="C64" s="7" t="s">
        <v>1650</v>
      </c>
      <c r="D64" s="7" t="s">
        <v>1725</v>
      </c>
    </row>
    <row r="65" spans="1:4">
      <c r="A65" s="7" t="s">
        <v>1438</v>
      </c>
      <c r="B65" s="7" t="s">
        <v>1346</v>
      </c>
      <c r="C65" s="7" t="s">
        <v>1655</v>
      </c>
      <c r="D65" s="7" t="s">
        <v>1499</v>
      </c>
    </row>
    <row r="66" spans="1:4">
      <c r="A66" s="7" t="s">
        <v>1437</v>
      </c>
      <c r="B66" s="7" t="s">
        <v>1355</v>
      </c>
      <c r="C66" s="7" t="s">
        <v>1654</v>
      </c>
      <c r="D66" s="7" t="s">
        <v>1493</v>
      </c>
    </row>
    <row r="67" spans="1:4">
      <c r="A67" s="7" t="s">
        <v>1445</v>
      </c>
      <c r="B67" s="7" t="s">
        <v>1334</v>
      </c>
      <c r="C67" s="7" t="s">
        <v>1656</v>
      </c>
      <c r="D67" s="7" t="s">
        <v>1494</v>
      </c>
    </row>
    <row r="68" spans="1:4">
      <c r="A68" s="7" t="s">
        <v>1442</v>
      </c>
      <c r="B68" s="7" t="s">
        <v>1357</v>
      </c>
      <c r="C68" s="7" t="s">
        <v>1649</v>
      </c>
      <c r="D68" s="7" t="s">
        <v>1492</v>
      </c>
    </row>
    <row r="69" spans="1:4">
      <c r="A69" s="7" t="s">
        <v>1688</v>
      </c>
      <c r="B69" s="7" t="s">
        <v>1360</v>
      </c>
      <c r="C69" s="7" t="s">
        <v>1651</v>
      </c>
      <c r="D69" s="7" t="s">
        <v>1498</v>
      </c>
    </row>
    <row r="70" spans="1:4">
      <c r="A70" s="7" t="s">
        <v>1690</v>
      </c>
      <c r="B70" s="7" t="s">
        <v>1351</v>
      </c>
      <c r="C70" s="7" t="s">
        <v>1528</v>
      </c>
      <c r="D70" s="7" t="s">
        <v>1280</v>
      </c>
    </row>
    <row r="71" spans="1:4">
      <c r="A71" s="7" t="s">
        <v>1297</v>
      </c>
      <c r="B71" s="7" t="s">
        <v>1335</v>
      </c>
      <c r="C71" s="7" t="s">
        <v>1671</v>
      </c>
      <c r="D71" s="7" t="s">
        <v>1757</v>
      </c>
    </row>
    <row r="72" spans="1:4">
      <c r="A72" s="7" t="s">
        <v>1704</v>
      </c>
      <c r="B72" s="7" t="s">
        <v>1352</v>
      </c>
      <c r="C72" s="7" t="s">
        <v>1672</v>
      </c>
      <c r="D72" s="7" t="s">
        <v>1712</v>
      </c>
    </row>
    <row r="73" spans="1:4">
      <c r="A73" s="7" t="s">
        <v>1691</v>
      </c>
      <c r="B73" s="7" t="s">
        <v>1348</v>
      </c>
      <c r="C73" s="7" t="s">
        <v>1669</v>
      </c>
      <c r="D73" s="7" t="s">
        <v>1749</v>
      </c>
    </row>
    <row r="74" spans="1:4">
      <c r="A74" s="7" t="s">
        <v>1703</v>
      </c>
      <c r="B74" s="7" t="s">
        <v>1356</v>
      </c>
      <c r="C74" s="7" t="s">
        <v>1668</v>
      </c>
      <c r="D74" s="7" t="s">
        <v>1759</v>
      </c>
    </row>
    <row r="75" spans="1:4">
      <c r="A75" s="7" t="s">
        <v>1687</v>
      </c>
      <c r="B75" s="7" t="s">
        <v>1685</v>
      </c>
      <c r="C75" s="7" t="s">
        <v>1675</v>
      </c>
      <c r="D75" s="7" t="s">
        <v>1717</v>
      </c>
    </row>
    <row r="76" spans="1:4">
      <c r="A76" s="7" t="s">
        <v>1702</v>
      </c>
      <c r="B76" s="7" t="s">
        <v>1679</v>
      </c>
      <c r="C76" s="7" t="s">
        <v>1670</v>
      </c>
      <c r="D76" s="7" t="s">
        <v>1716</v>
      </c>
    </row>
    <row r="77" spans="1:4">
      <c r="A77" s="7" t="s">
        <v>1705</v>
      </c>
      <c r="B77" s="7" t="s">
        <v>1681</v>
      </c>
      <c r="C77" s="7" t="s">
        <v>1673</v>
      </c>
      <c r="D77" s="7" t="s">
        <v>1707</v>
      </c>
    </row>
    <row r="78" spans="1:4">
      <c r="A78" s="7" t="s">
        <v>1689</v>
      </c>
      <c r="B78" s="7" t="s">
        <v>1677</v>
      </c>
      <c r="C78" s="7" t="s">
        <v>1676</v>
      </c>
      <c r="D78" s="7" t="s">
        <v>1763</v>
      </c>
    </row>
    <row r="79" spans="1:4">
      <c r="A79" s="7" t="s">
        <v>1706</v>
      </c>
      <c r="B79" s="7" t="s">
        <v>1686</v>
      </c>
      <c r="C79" s="7" t="s">
        <v>1667</v>
      </c>
      <c r="D79" s="7" t="s">
        <v>1710</v>
      </c>
    </row>
    <row r="80" spans="1:4">
      <c r="A80" s="7" t="s">
        <v>1289</v>
      </c>
      <c r="B80" s="7" t="s">
        <v>1678</v>
      </c>
      <c r="C80" s="7" t="s">
        <v>1674</v>
      </c>
      <c r="D80" s="7" t="s">
        <v>1708</v>
      </c>
    </row>
    <row r="81" spans="1:4">
      <c r="A81" s="7" t="s">
        <v>1295</v>
      </c>
      <c r="B81" s="7" t="s">
        <v>1684</v>
      </c>
      <c r="C81" s="7" t="s">
        <v>1544</v>
      </c>
      <c r="D81" s="7" t="s">
        <v>1765</v>
      </c>
    </row>
    <row r="82" spans="1:4">
      <c r="A82" s="7" t="s">
        <v>1300</v>
      </c>
      <c r="B82" s="7" t="s">
        <v>1682</v>
      </c>
      <c r="C82" s="7" t="s">
        <v>1542</v>
      </c>
      <c r="D82" s="7" t="s">
        <v>1760</v>
      </c>
    </row>
    <row r="83" spans="1:4">
      <c r="A83" s="7" t="s">
        <v>1304</v>
      </c>
      <c r="B83" s="7" t="s">
        <v>1683</v>
      </c>
      <c r="C83" s="7" t="s">
        <v>1539</v>
      </c>
      <c r="D83" s="7" t="s">
        <v>1770</v>
      </c>
    </row>
    <row r="84" spans="1:4">
      <c r="A84" s="7" t="s">
        <v>1310</v>
      </c>
      <c r="B84" s="7" t="s">
        <v>1680</v>
      </c>
      <c r="C84" s="7" t="s">
        <v>1538</v>
      </c>
      <c r="D84" s="7" t="s">
        <v>1715</v>
      </c>
    </row>
    <row r="85" spans="1:4">
      <c r="A85" s="7" t="s">
        <v>1294</v>
      </c>
      <c r="B85" s="7" t="s">
        <v>1660</v>
      </c>
      <c r="C85" s="7" t="s">
        <v>1535</v>
      </c>
      <c r="D85" s="7" t="s">
        <v>1758</v>
      </c>
    </row>
    <row r="86" spans="1:4">
      <c r="A86" s="7" t="s">
        <v>1305</v>
      </c>
      <c r="B86" s="7" t="s">
        <v>1661</v>
      </c>
      <c r="C86" s="7" t="s">
        <v>1546</v>
      </c>
      <c r="D86" s="7" t="s">
        <v>1772</v>
      </c>
    </row>
    <row r="87" spans="1:4">
      <c r="A87" s="7" t="s">
        <v>1292</v>
      </c>
      <c r="B87" s="7" t="s">
        <v>1663</v>
      </c>
      <c r="C87" s="7" t="s">
        <v>1540</v>
      </c>
      <c r="D87" s="7" t="s">
        <v>1771</v>
      </c>
    </row>
    <row r="88" spans="1:4">
      <c r="A88" s="7" t="s">
        <v>1299</v>
      </c>
      <c r="B88" s="7" t="s">
        <v>1666</v>
      </c>
      <c r="C88" s="7" t="s">
        <v>1541</v>
      </c>
      <c r="D88" s="7" t="s">
        <v>1768</v>
      </c>
    </row>
    <row r="89" spans="1:4">
      <c r="A89" s="7" t="s">
        <v>1298</v>
      </c>
      <c r="B89" s="7" t="s">
        <v>1664</v>
      </c>
      <c r="C89" s="7" t="s">
        <v>1536</v>
      </c>
      <c r="D89" s="7" t="s">
        <v>1767</v>
      </c>
    </row>
    <row r="90" spans="1:4">
      <c r="A90" s="7" t="s">
        <v>1314</v>
      </c>
      <c r="B90" s="7" t="s">
        <v>1657</v>
      </c>
      <c r="C90" s="7" t="s">
        <v>1543</v>
      </c>
      <c r="D90" s="7" t="s">
        <v>1769</v>
      </c>
    </row>
    <row r="91" spans="1:4">
      <c r="A91" s="7" t="s">
        <v>1293</v>
      </c>
      <c r="B91" s="7" t="s">
        <v>1665</v>
      </c>
      <c r="C91" s="7" t="s">
        <v>1545</v>
      </c>
      <c r="D91" s="7" t="s">
        <v>1713</v>
      </c>
    </row>
    <row r="92" spans="1:4">
      <c r="A92" s="7" t="s">
        <v>1308</v>
      </c>
      <c r="B92" s="7" t="s">
        <v>1659</v>
      </c>
      <c r="C92" s="7" t="s">
        <v>1537</v>
      </c>
      <c r="D92" s="7" t="s">
        <v>1751</v>
      </c>
    </row>
    <row r="93" spans="1:4">
      <c r="A93" s="7" t="s">
        <v>1290</v>
      </c>
      <c r="B93" s="7" t="s">
        <v>1662</v>
      </c>
      <c r="C93" s="7" t="s">
        <v>1623</v>
      </c>
      <c r="D93" s="7" t="s">
        <v>1755</v>
      </c>
    </row>
    <row r="94" spans="1:4">
      <c r="A94" s="7" t="s">
        <v>1309</v>
      </c>
      <c r="B94" s="7" t="s">
        <v>1658</v>
      </c>
      <c r="C94" s="7" t="s">
        <v>1620</v>
      </c>
      <c r="D94" s="7" t="s">
        <v>1709</v>
      </c>
    </row>
    <row r="95" spans="1:4">
      <c r="A95" s="7" t="s">
        <v>1315</v>
      </c>
      <c r="B95" s="7" t="s">
        <v>1527</v>
      </c>
      <c r="C95" s="7" t="s">
        <v>1602</v>
      </c>
      <c r="D95" s="7" t="s">
        <v>1750</v>
      </c>
    </row>
    <row r="96" spans="1:4">
      <c r="A96" s="7" t="s">
        <v>1301</v>
      </c>
      <c r="B96" s="7" t="s">
        <v>1558</v>
      </c>
      <c r="C96" s="7" t="s">
        <v>1600</v>
      </c>
      <c r="D96" s="7" t="s">
        <v>1754</v>
      </c>
    </row>
    <row r="97" spans="1:4">
      <c r="A97" s="7" t="s">
        <v>1312</v>
      </c>
      <c r="B97" s="7" t="s">
        <v>1550</v>
      </c>
      <c r="C97" s="7" t="s">
        <v>1605</v>
      </c>
      <c r="D97" s="7" t="s">
        <v>1719</v>
      </c>
    </row>
    <row r="98" spans="1:4">
      <c r="A98" s="7" t="s">
        <v>1287</v>
      </c>
      <c r="B98" s="7" t="s">
        <v>1552</v>
      </c>
      <c r="C98" s="7" t="s">
        <v>1613</v>
      </c>
      <c r="D98" s="7" t="s">
        <v>1756</v>
      </c>
    </row>
    <row r="99" spans="1:4">
      <c r="A99" s="7" t="s">
        <v>1291</v>
      </c>
      <c r="B99" s="7" t="s">
        <v>1557</v>
      </c>
      <c r="C99" s="7" t="s">
        <v>1617</v>
      </c>
      <c r="D99" s="7" t="s">
        <v>1720</v>
      </c>
    </row>
    <row r="100" spans="1:4">
      <c r="A100" s="7" t="s">
        <v>1316</v>
      </c>
      <c r="B100" s="7" t="s">
        <v>1554</v>
      </c>
      <c r="C100" s="7" t="s">
        <v>1629</v>
      </c>
      <c r="D100" s="7" t="s">
        <v>1718</v>
      </c>
    </row>
    <row r="101" spans="1:4">
      <c r="A101" s="7" t="s">
        <v>1303</v>
      </c>
      <c r="B101" s="7" t="s">
        <v>1555</v>
      </c>
      <c r="C101" s="7" t="s">
        <v>1603</v>
      </c>
      <c r="D101" s="7" t="s">
        <v>1711</v>
      </c>
    </row>
    <row r="102" spans="1:4">
      <c r="A102" s="7" t="s">
        <v>1296</v>
      </c>
      <c r="B102" s="7" t="s">
        <v>1556</v>
      </c>
      <c r="C102" s="7" t="s">
        <v>1625</v>
      </c>
      <c r="D102" s="7" t="s">
        <v>1748</v>
      </c>
    </row>
    <row r="103" spans="1:4">
      <c r="A103" s="7" t="s">
        <v>1322</v>
      </c>
      <c r="B103" s="7" t="s">
        <v>1548</v>
      </c>
      <c r="C103" s="7" t="s">
        <v>1627</v>
      </c>
      <c r="D103" s="7" t="s">
        <v>1773</v>
      </c>
    </row>
    <row r="104" spans="1:4">
      <c r="A104" s="7" t="s">
        <v>1321</v>
      </c>
      <c r="B104" s="7" t="s">
        <v>1549</v>
      </c>
      <c r="C104" s="7" t="s">
        <v>1610</v>
      </c>
      <c r="D104" s="7" t="s">
        <v>1766</v>
      </c>
    </row>
    <row r="105" spans="1:4">
      <c r="A105" s="7" t="s">
        <v>1313</v>
      </c>
      <c r="B105" s="7" t="s">
        <v>1551</v>
      </c>
      <c r="C105" s="7" t="s">
        <v>1599</v>
      </c>
      <c r="D105" s="7" t="s">
        <v>1752</v>
      </c>
    </row>
    <row r="106" spans="1:4">
      <c r="A106" s="7" t="s">
        <v>1288</v>
      </c>
      <c r="B106" s="7" t="s">
        <v>1547</v>
      </c>
      <c r="C106" s="7" t="s">
        <v>1622</v>
      </c>
      <c r="D106" s="7" t="s">
        <v>1753</v>
      </c>
    </row>
    <row r="107" spans="1:4">
      <c r="A107" s="7" t="s">
        <v>1307</v>
      </c>
      <c r="B107" s="7" t="s">
        <v>1553</v>
      </c>
      <c r="C107" s="7" t="s">
        <v>1636</v>
      </c>
      <c r="D107" s="7" t="s">
        <v>1761</v>
      </c>
    </row>
    <row r="108" spans="1:4">
      <c r="A108" s="7" t="s">
        <v>1323</v>
      </c>
      <c r="B108" s="7" t="s">
        <v>1519</v>
      </c>
      <c r="C108" s="7" t="s">
        <v>1621</v>
      </c>
      <c r="D108" s="7" t="s">
        <v>1714</v>
      </c>
    </row>
    <row r="109" spans="1:4">
      <c r="A109" s="7" t="s">
        <v>1319</v>
      </c>
      <c r="B109" s="7" t="s">
        <v>1286</v>
      </c>
      <c r="C109" s="7" t="s">
        <v>1601</v>
      </c>
      <c r="D109" s="7" t="s">
        <v>1762</v>
      </c>
    </row>
    <row r="110" spans="1:4">
      <c r="A110" s="7" t="s">
        <v>1318</v>
      </c>
      <c r="B110" s="7" t="s">
        <v>1285</v>
      </c>
      <c r="C110" s="7" t="s">
        <v>1606</v>
      </c>
      <c r="D110" s="7" t="s">
        <v>1764</v>
      </c>
    </row>
    <row r="111" spans="1:4">
      <c r="A111" s="7" t="s">
        <v>1311</v>
      </c>
      <c r="B111" s="7" t="s">
        <v>1647</v>
      </c>
      <c r="C111" s="7" t="s">
        <v>1635</v>
      </c>
      <c r="D111" s="7" t="s">
        <v>1469</v>
      </c>
    </row>
    <row r="112" spans="1:4">
      <c r="A112" s="7" t="s">
        <v>1317</v>
      </c>
      <c r="B112" s="7" t="s">
        <v>1640</v>
      </c>
      <c r="C112" s="7" t="s">
        <v>1607</v>
      </c>
      <c r="D112" s="7" t="s">
        <v>1462</v>
      </c>
    </row>
    <row r="113" spans="1:4">
      <c r="A113" s="7" t="s">
        <v>1306</v>
      </c>
      <c r="B113" s="7" t="s">
        <v>1643</v>
      </c>
      <c r="C113" s="7" t="s">
        <v>1615</v>
      </c>
      <c r="D113" s="7" t="s">
        <v>1471</v>
      </c>
    </row>
    <row r="114" spans="1:4">
      <c r="A114" s="7" t="s">
        <v>1320</v>
      </c>
      <c r="B114" s="7" t="s">
        <v>1646</v>
      </c>
      <c r="C114" s="7" t="s">
        <v>1638</v>
      </c>
      <c r="D114" s="7" t="s">
        <v>1467</v>
      </c>
    </row>
    <row r="115" spans="1:4">
      <c r="A115" s="7" t="s">
        <v>1302</v>
      </c>
      <c r="B115" s="7" t="s">
        <v>1639</v>
      </c>
      <c r="C115" s="7" t="s">
        <v>1633</v>
      </c>
      <c r="D115" s="7" t="s">
        <v>1470</v>
      </c>
    </row>
    <row r="116" spans="1:4">
      <c r="A116" s="7" t="s">
        <v>1270</v>
      </c>
      <c r="B116" s="7" t="s">
        <v>1641</v>
      </c>
      <c r="C116" s="7" t="s">
        <v>1628</v>
      </c>
      <c r="D116" s="7" t="s">
        <v>1463</v>
      </c>
    </row>
    <row r="117" spans="1:4">
      <c r="A117" s="7" t="s">
        <v>1271</v>
      </c>
      <c r="B117" s="7" t="s">
        <v>1642</v>
      </c>
      <c r="C117" s="7" t="s">
        <v>1608</v>
      </c>
      <c r="D117" s="7" t="s">
        <v>1468</v>
      </c>
    </row>
    <row r="118" spans="1:4">
      <c r="A118" s="7" t="s">
        <v>1272</v>
      </c>
      <c r="B118" s="7" t="s">
        <v>1644</v>
      </c>
      <c r="C118" s="7" t="s">
        <v>1632</v>
      </c>
      <c r="D118" s="7" t="s">
        <v>1466</v>
      </c>
    </row>
    <row r="119" spans="1:4">
      <c r="A119" s="7" t="s">
        <v>1526</v>
      </c>
      <c r="B119" s="7" t="s">
        <v>1645</v>
      </c>
      <c r="C119" s="7" t="s">
        <v>1637</v>
      </c>
      <c r="D119" s="7" t="s">
        <v>1464</v>
      </c>
    </row>
    <row r="120" spans="1:4">
      <c r="A120" s="7" t="s">
        <v>1525</v>
      </c>
    </row>
  </sheetData>
  <sortState ref="C1:C1064">
    <sortCondition ref="C218"/>
  </sortState>
  <pageMargins left="0.7" right="0.7" top="1.21" bottom="0.75" header="0.3" footer="0.3"/>
  <pageSetup orientation="portrait" verticalDpi="0" r:id="rId1"/>
  <headerFooter>
    <oddHeader>&amp;LSERIES DEL PEDIMENTO # 3371-1000600
POR EL AGENTE ADUANAL
GABRIEL ESCALANTE B
PAT # 3371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B159"/>
  <sheetViews>
    <sheetView workbookViewId="0"/>
  </sheetViews>
  <sheetFormatPr defaultRowHeight="15"/>
  <cols>
    <col min="1" max="1" width="20.7109375" bestFit="1" customWidth="1"/>
    <col min="2" max="2" width="12" customWidth="1"/>
    <col min="7" max="7" width="15.85546875" customWidth="1"/>
  </cols>
  <sheetData>
    <row r="1" spans="1:2">
      <c r="A1" t="s">
        <v>1775</v>
      </c>
      <c r="B1" s="1">
        <v>84001457</v>
      </c>
    </row>
    <row r="2" spans="1:2">
      <c r="A2" t="s">
        <v>1776</v>
      </c>
      <c r="B2" s="1">
        <v>84001457</v>
      </c>
    </row>
    <row r="3" spans="1:2">
      <c r="A3" t="s">
        <v>1777</v>
      </c>
      <c r="B3" s="1">
        <v>75</v>
      </c>
    </row>
    <row r="4" spans="1:2">
      <c r="A4" t="s">
        <v>1778</v>
      </c>
      <c r="B4" s="1">
        <v>1236</v>
      </c>
    </row>
    <row r="5" spans="1:2">
      <c r="A5" t="s">
        <v>1779</v>
      </c>
      <c r="B5" s="1">
        <v>7042</v>
      </c>
    </row>
    <row r="6" spans="1:2">
      <c r="B6" s="1"/>
    </row>
    <row r="7" spans="1:2">
      <c r="B7" s="1"/>
    </row>
    <row r="9" spans="1:2">
      <c r="A9">
        <v>84001457</v>
      </c>
    </row>
    <row r="10" spans="1:2">
      <c r="A10">
        <v>689280548</v>
      </c>
    </row>
    <row r="11" spans="1:2">
      <c r="A11">
        <v>697417868</v>
      </c>
    </row>
    <row r="12" spans="1:2">
      <c r="A12">
        <v>697835663</v>
      </c>
    </row>
    <row r="13" spans="1:2">
      <c r="A13">
        <v>699552035</v>
      </c>
    </row>
    <row r="14" spans="1:2">
      <c r="A14">
        <v>700794451</v>
      </c>
    </row>
    <row r="15" spans="1:2">
      <c r="A15">
        <v>701404993</v>
      </c>
    </row>
    <row r="16" spans="1:2">
      <c r="A16">
        <v>701928579</v>
      </c>
    </row>
    <row r="17" spans="1:1">
      <c r="A17">
        <v>703508197</v>
      </c>
    </row>
    <row r="18" spans="1:1">
      <c r="A18">
        <v>703603808</v>
      </c>
    </row>
    <row r="19" spans="1:1">
      <c r="A19">
        <v>703623368</v>
      </c>
    </row>
    <row r="20" spans="1:1">
      <c r="A20">
        <v>703659859</v>
      </c>
    </row>
    <row r="21" spans="1:1">
      <c r="A21">
        <v>703998661</v>
      </c>
    </row>
    <row r="22" spans="1:1">
      <c r="A22">
        <v>704145940</v>
      </c>
    </row>
    <row r="23" spans="1:1">
      <c r="A23">
        <v>704646848</v>
      </c>
    </row>
    <row r="24" spans="1:1">
      <c r="A24">
        <v>705086200</v>
      </c>
    </row>
    <row r="25" spans="1:1">
      <c r="A25">
        <v>705142938</v>
      </c>
    </row>
    <row r="26" spans="1:1">
      <c r="A26">
        <v>705146756</v>
      </c>
    </row>
    <row r="27" spans="1:1">
      <c r="A27">
        <v>705148505</v>
      </c>
    </row>
    <row r="28" spans="1:1">
      <c r="A28">
        <v>705149222</v>
      </c>
    </row>
    <row r="29" spans="1:1">
      <c r="A29">
        <v>705150097</v>
      </c>
    </row>
    <row r="30" spans="1:1">
      <c r="A30">
        <v>705183759</v>
      </c>
    </row>
    <row r="31" spans="1:1">
      <c r="A31">
        <v>705227861</v>
      </c>
    </row>
    <row r="32" spans="1:1">
      <c r="A32">
        <v>705260276</v>
      </c>
    </row>
    <row r="33" spans="1:1">
      <c r="A33">
        <v>705484322</v>
      </c>
    </row>
    <row r="34" spans="1:1">
      <c r="A34">
        <v>705487754</v>
      </c>
    </row>
    <row r="35" spans="1:1">
      <c r="A35">
        <v>705711831</v>
      </c>
    </row>
    <row r="36" spans="1:1">
      <c r="A36">
        <v>705712466</v>
      </c>
    </row>
    <row r="37" spans="1:1">
      <c r="A37">
        <v>705757917</v>
      </c>
    </row>
    <row r="38" spans="1:1">
      <c r="A38">
        <v>705763246</v>
      </c>
    </row>
    <row r="39" spans="1:1">
      <c r="A39">
        <v>705811581</v>
      </c>
    </row>
    <row r="40" spans="1:1">
      <c r="A40">
        <v>705811821</v>
      </c>
    </row>
    <row r="41" spans="1:1">
      <c r="A41">
        <v>706185886</v>
      </c>
    </row>
    <row r="42" spans="1:1">
      <c r="A42">
        <v>706207136</v>
      </c>
    </row>
    <row r="43" spans="1:1">
      <c r="A43">
        <v>706253015</v>
      </c>
    </row>
    <row r="44" spans="1:1">
      <c r="A44">
        <v>706253577</v>
      </c>
    </row>
    <row r="45" spans="1:1">
      <c r="A45">
        <v>706295032</v>
      </c>
    </row>
    <row r="46" spans="1:1">
      <c r="A46">
        <v>706295818</v>
      </c>
    </row>
    <row r="47" spans="1:1">
      <c r="A47">
        <v>706318925</v>
      </c>
    </row>
    <row r="48" spans="1:1">
      <c r="A48">
        <v>706319097</v>
      </c>
    </row>
    <row r="49" spans="1:1">
      <c r="A49">
        <v>706395964</v>
      </c>
    </row>
    <row r="50" spans="1:1">
      <c r="A50">
        <v>706532053</v>
      </c>
    </row>
    <row r="51" spans="1:1">
      <c r="A51">
        <v>706602443</v>
      </c>
    </row>
    <row r="52" spans="1:1">
      <c r="A52">
        <v>706663411</v>
      </c>
    </row>
    <row r="53" spans="1:1">
      <c r="A53">
        <v>706667966</v>
      </c>
    </row>
    <row r="54" spans="1:1">
      <c r="A54">
        <v>706668097</v>
      </c>
    </row>
    <row r="55" spans="1:1">
      <c r="A55">
        <v>706668477</v>
      </c>
    </row>
    <row r="56" spans="1:1">
      <c r="A56">
        <v>706668600</v>
      </c>
    </row>
    <row r="57" spans="1:1">
      <c r="A57">
        <v>706668691</v>
      </c>
    </row>
    <row r="58" spans="1:1">
      <c r="A58">
        <v>706669731</v>
      </c>
    </row>
    <row r="59" spans="1:1">
      <c r="A59">
        <v>706670663</v>
      </c>
    </row>
    <row r="60" spans="1:1">
      <c r="A60">
        <v>706671448</v>
      </c>
    </row>
    <row r="61" spans="1:1">
      <c r="A61">
        <v>706866758</v>
      </c>
    </row>
    <row r="62" spans="1:1">
      <c r="A62">
        <v>706982209</v>
      </c>
    </row>
    <row r="63" spans="1:1">
      <c r="A63">
        <v>706982332</v>
      </c>
    </row>
    <row r="64" spans="1:1">
      <c r="A64">
        <v>707013111</v>
      </c>
    </row>
    <row r="65" spans="1:1">
      <c r="A65">
        <v>707013244</v>
      </c>
    </row>
    <row r="66" spans="1:1">
      <c r="A66">
        <v>707013293</v>
      </c>
    </row>
    <row r="67" spans="1:1">
      <c r="A67">
        <v>707013335</v>
      </c>
    </row>
    <row r="68" spans="1:1">
      <c r="A68">
        <v>707015223</v>
      </c>
    </row>
    <row r="69" spans="1:1">
      <c r="A69">
        <v>707087412</v>
      </c>
    </row>
    <row r="70" spans="1:1">
      <c r="A70">
        <v>707089087</v>
      </c>
    </row>
    <row r="71" spans="1:1">
      <c r="A71">
        <v>707366691</v>
      </c>
    </row>
    <row r="72" spans="1:1">
      <c r="A72">
        <v>707367988</v>
      </c>
    </row>
    <row r="73" spans="1:1">
      <c r="A73">
        <v>707520941</v>
      </c>
    </row>
    <row r="74" spans="1:1">
      <c r="A74">
        <v>707531047</v>
      </c>
    </row>
    <row r="75" spans="1:1">
      <c r="A75">
        <v>707531179</v>
      </c>
    </row>
    <row r="76" spans="1:1">
      <c r="A76">
        <v>707573890</v>
      </c>
    </row>
    <row r="77" spans="1:1">
      <c r="A77">
        <v>707596172</v>
      </c>
    </row>
    <row r="78" spans="1:1">
      <c r="A78">
        <v>707637703</v>
      </c>
    </row>
    <row r="79" spans="1:1">
      <c r="A79">
        <v>707637877</v>
      </c>
    </row>
    <row r="80" spans="1:1">
      <c r="A80">
        <v>707638040</v>
      </c>
    </row>
    <row r="81" spans="1:2">
      <c r="A81">
        <v>707691288</v>
      </c>
    </row>
    <row r="82" spans="1:2">
      <c r="A82">
        <v>707867821</v>
      </c>
    </row>
    <row r="83" spans="1:2">
      <c r="A83">
        <v>707868795</v>
      </c>
    </row>
    <row r="84" spans="1:2">
      <c r="A84">
        <v>707935719</v>
      </c>
    </row>
    <row r="87" spans="1:2">
      <c r="A87" t="s">
        <v>1780</v>
      </c>
      <c r="B87" s="2">
        <v>40698</v>
      </c>
    </row>
    <row r="88" spans="1:2">
      <c r="A88" t="s">
        <v>1781</v>
      </c>
      <c r="B88" s="12" t="s">
        <v>1787</v>
      </c>
    </row>
    <row r="89" spans="1:2">
      <c r="A89" t="s">
        <v>1782</v>
      </c>
      <c r="B89" s="2">
        <v>40700</v>
      </c>
    </row>
    <row r="90" spans="1:2">
      <c r="A90" t="s">
        <v>1783</v>
      </c>
      <c r="B90" s="12" t="s">
        <v>1788</v>
      </c>
    </row>
    <row r="91" spans="1:2">
      <c r="B91" s="1"/>
    </row>
    <row r="92" spans="1:2">
      <c r="B92" s="1"/>
    </row>
    <row r="93" spans="1:2">
      <c r="A93">
        <v>285128.08</v>
      </c>
      <c r="B93" s="1"/>
    </row>
    <row r="97" spans="1:2">
      <c r="A97" t="s">
        <v>1775</v>
      </c>
      <c r="B97" s="1">
        <v>84001458</v>
      </c>
    </row>
    <row r="98" spans="1:2">
      <c r="A98" t="s">
        <v>1776</v>
      </c>
      <c r="B98" s="1">
        <v>84001458</v>
      </c>
    </row>
    <row r="99" spans="1:2">
      <c r="A99" t="s">
        <v>1777</v>
      </c>
      <c r="B99" s="1">
        <v>45</v>
      </c>
    </row>
    <row r="100" spans="1:2">
      <c r="A100" t="s">
        <v>1778</v>
      </c>
      <c r="B100" s="1">
        <v>531</v>
      </c>
    </row>
    <row r="101" spans="1:2">
      <c r="A101" t="s">
        <v>1779</v>
      </c>
      <c r="B101" s="1">
        <v>4632</v>
      </c>
    </row>
    <row r="102" spans="1:2">
      <c r="B102" s="1"/>
    </row>
    <row r="103" spans="1:2">
      <c r="B103" s="1"/>
    </row>
    <row r="105" spans="1:2">
      <c r="A105">
        <v>84001458</v>
      </c>
    </row>
    <row r="106" spans="1:2">
      <c r="A106" s="7">
        <v>695133335</v>
      </c>
    </row>
    <row r="107" spans="1:2">
      <c r="A107" s="7">
        <v>700711331</v>
      </c>
    </row>
    <row r="108" spans="1:2">
      <c r="A108" s="7">
        <v>700900884</v>
      </c>
    </row>
    <row r="109" spans="1:2">
      <c r="A109" s="7">
        <v>702037164</v>
      </c>
    </row>
    <row r="110" spans="1:2">
      <c r="A110" s="7">
        <v>702459723</v>
      </c>
    </row>
    <row r="111" spans="1:2">
      <c r="A111" s="7">
        <v>704265532</v>
      </c>
    </row>
    <row r="112" spans="1:2">
      <c r="A112" s="7">
        <v>705086366</v>
      </c>
    </row>
    <row r="113" spans="1:1">
      <c r="A113" s="7">
        <v>705086382</v>
      </c>
    </row>
    <row r="114" spans="1:1">
      <c r="A114" s="7">
        <v>705260110</v>
      </c>
    </row>
    <row r="115" spans="1:1">
      <c r="A115" s="7">
        <v>706255721</v>
      </c>
    </row>
    <row r="116" spans="1:1">
      <c r="A116" s="7">
        <v>706326902</v>
      </c>
    </row>
    <row r="117" spans="1:1">
      <c r="A117" s="7">
        <v>706413130</v>
      </c>
    </row>
    <row r="118" spans="1:1">
      <c r="A118" s="7">
        <v>706663353</v>
      </c>
    </row>
    <row r="119" spans="1:1">
      <c r="A119" s="7">
        <v>706669202</v>
      </c>
    </row>
    <row r="120" spans="1:1">
      <c r="A120" s="7">
        <v>706898793</v>
      </c>
    </row>
    <row r="121" spans="1:1">
      <c r="A121" s="7">
        <v>707012410</v>
      </c>
    </row>
    <row r="122" spans="1:1">
      <c r="A122" s="7">
        <v>707087503</v>
      </c>
    </row>
    <row r="123" spans="1:1">
      <c r="A123" s="7">
        <v>707366584</v>
      </c>
    </row>
    <row r="124" spans="1:1">
      <c r="A124" s="7">
        <v>707367004</v>
      </c>
    </row>
    <row r="125" spans="1:1">
      <c r="A125" s="7">
        <v>707433814</v>
      </c>
    </row>
    <row r="126" spans="1:1">
      <c r="A126" s="7">
        <v>707517574</v>
      </c>
    </row>
    <row r="127" spans="1:1">
      <c r="A127" s="7">
        <v>707518390</v>
      </c>
    </row>
    <row r="128" spans="1:1">
      <c r="A128" s="7">
        <v>707518424</v>
      </c>
    </row>
    <row r="129" spans="1:1">
      <c r="A129" s="7">
        <v>707519257</v>
      </c>
    </row>
    <row r="130" spans="1:1">
      <c r="A130" s="7">
        <v>707519406</v>
      </c>
    </row>
    <row r="131" spans="1:1">
      <c r="A131" s="7">
        <v>707531096</v>
      </c>
    </row>
    <row r="132" spans="1:1">
      <c r="A132" s="7">
        <v>707569815</v>
      </c>
    </row>
    <row r="133" spans="1:1">
      <c r="A133" s="7">
        <v>707570201</v>
      </c>
    </row>
    <row r="134" spans="1:1">
      <c r="A134">
        <v>707570342</v>
      </c>
    </row>
    <row r="135" spans="1:1">
      <c r="A135" s="7">
        <v>707570730</v>
      </c>
    </row>
    <row r="136" spans="1:1">
      <c r="A136" s="7">
        <v>707571498</v>
      </c>
    </row>
    <row r="137" spans="1:1">
      <c r="A137" s="7">
        <v>707574187</v>
      </c>
    </row>
    <row r="138" spans="1:1">
      <c r="A138" s="7">
        <v>707574435</v>
      </c>
    </row>
    <row r="139" spans="1:1">
      <c r="A139" s="7">
        <v>707596099</v>
      </c>
    </row>
    <row r="140" spans="1:1">
      <c r="A140" s="7">
        <v>707638834</v>
      </c>
    </row>
    <row r="141" spans="1:1">
      <c r="A141" s="7">
        <v>707692211</v>
      </c>
    </row>
    <row r="142" spans="1:1">
      <c r="A142" s="7">
        <v>707728759</v>
      </c>
    </row>
    <row r="143" spans="1:1">
      <c r="A143" s="7">
        <v>707921479</v>
      </c>
    </row>
    <row r="144" spans="1:1">
      <c r="A144" s="7">
        <v>708035105</v>
      </c>
    </row>
    <row r="145" spans="1:2">
      <c r="A145" s="7">
        <v>708035899</v>
      </c>
    </row>
    <row r="146" spans="1:2">
      <c r="A146" s="7">
        <v>708036343</v>
      </c>
    </row>
    <row r="147" spans="1:2">
      <c r="A147" s="7">
        <v>708179184</v>
      </c>
    </row>
    <row r="148" spans="1:2">
      <c r="A148" s="7">
        <v>708179937</v>
      </c>
    </row>
    <row r="149" spans="1:2">
      <c r="A149" s="7">
        <v>708179945</v>
      </c>
    </row>
    <row r="150" spans="1:2">
      <c r="A150" s="7">
        <v>708179960</v>
      </c>
    </row>
    <row r="153" spans="1:2">
      <c r="A153" t="s">
        <v>1780</v>
      </c>
      <c r="B153" s="2">
        <v>40700</v>
      </c>
    </row>
    <row r="154" spans="1:2">
      <c r="A154" t="s">
        <v>1781</v>
      </c>
      <c r="B154" s="12" t="s">
        <v>1791</v>
      </c>
    </row>
    <row r="155" spans="1:2">
      <c r="A155" t="s">
        <v>1782</v>
      </c>
      <c r="B155" s="2">
        <v>40701</v>
      </c>
    </row>
    <row r="156" spans="1:2">
      <c r="A156" t="s">
        <v>1783</v>
      </c>
      <c r="B156" s="12">
        <v>0.11458333333333333</v>
      </c>
    </row>
    <row r="159" spans="1:2">
      <c r="A159">
        <v>219305.25</v>
      </c>
    </row>
  </sheetData>
  <sortState ref="G1:G1237">
    <sortCondition ref="G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840001457</vt:lpstr>
      <vt:lpstr>84001458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juan gallegos</cp:lastModifiedBy>
  <cp:lastPrinted>2011-06-08T03:02:09Z</cp:lastPrinted>
  <dcterms:created xsi:type="dcterms:W3CDTF">2011-06-04T05:28:06Z</dcterms:created>
  <dcterms:modified xsi:type="dcterms:W3CDTF">2011-06-08T12:56:15Z</dcterms:modified>
</cp:coreProperties>
</file>